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Lenovo\OneDrive\Desktop\sales dashboard\"/>
    </mc:Choice>
  </mc:AlternateContent>
  <xr:revisionPtr revIDLastSave="0" documentId="13_ncr:1_{11EDB0B4-4072-44EC-95CC-2C749A7CF43B}" xr6:coauthVersionLast="47" xr6:coauthVersionMax="47" xr10:uidLastSave="{00000000-0000-0000-0000-000000000000}"/>
  <bookViews>
    <workbookView xWindow="-108" yWindow="-108" windowWidth="23256" windowHeight="12456" activeTab="2" xr2:uid="{CCC9AAF9-BB19-455C-BC8B-9DE20E2C394C}"/>
  </bookViews>
  <sheets>
    <sheet name="PRODUCT DETAILS" sheetId="1" r:id="rId1"/>
    <sheet name="PIVOT TABLES" sheetId="3" r:id="rId2"/>
    <sheet name="DASHBOARD" sheetId="7" r:id="rId3"/>
  </sheets>
  <definedNames>
    <definedName name="Slicer_Employee">#N/A</definedName>
    <definedName name="Slicer_Products">#N/A</definedName>
    <definedName name="Slicer_Region">#N/A</definedName>
  </definedNames>
  <calcPr calcId="191029"/>
  <pivotCaches>
    <pivotCache cacheId="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7" i="1" l="1"/>
  <c r="K9" i="1"/>
  <c r="K5" i="1"/>
</calcChain>
</file>

<file path=xl/sharedStrings.xml><?xml version="1.0" encoding="utf-8"?>
<sst xmlns="http://schemas.openxmlformats.org/spreadsheetml/2006/main" count="277" uniqueCount="114">
  <si>
    <t>Arun</t>
  </si>
  <si>
    <t>Bala</t>
  </si>
  <si>
    <t>Chitra</t>
  </si>
  <si>
    <t>Deepak</t>
  </si>
  <si>
    <t>Products</t>
  </si>
  <si>
    <t>fan</t>
  </si>
  <si>
    <t>table</t>
  </si>
  <si>
    <t xml:space="preserve">light </t>
  </si>
  <si>
    <t xml:space="preserve">shoes </t>
  </si>
  <si>
    <t>fridge</t>
  </si>
  <si>
    <t xml:space="preserve">mixie  </t>
  </si>
  <si>
    <t>grinder</t>
  </si>
  <si>
    <t>tv</t>
  </si>
  <si>
    <t>oven</t>
  </si>
  <si>
    <t>tent</t>
  </si>
  <si>
    <t>Employee</t>
  </si>
  <si>
    <t>Unit Sold</t>
  </si>
  <si>
    <t>Unit Price</t>
  </si>
  <si>
    <t>Rs.6500</t>
  </si>
  <si>
    <t>COG</t>
  </si>
  <si>
    <t>Rs.6501</t>
  </si>
  <si>
    <t>Rs.6502</t>
  </si>
  <si>
    <t>Rs.6503</t>
  </si>
  <si>
    <t>Rs.6504</t>
  </si>
  <si>
    <t>Rs.6505</t>
  </si>
  <si>
    <t>Rs.6506</t>
  </si>
  <si>
    <t>Rs.6507</t>
  </si>
  <si>
    <t>Rs.7500</t>
  </si>
  <si>
    <t>Rs.7501</t>
  </si>
  <si>
    <t>Rs.7502</t>
  </si>
  <si>
    <t>Rs.7503</t>
  </si>
  <si>
    <t>Rs.7504</t>
  </si>
  <si>
    <t>Rs.7505</t>
  </si>
  <si>
    <t>Rs.7506</t>
  </si>
  <si>
    <t>Rs.7507</t>
  </si>
  <si>
    <t>Rs.7508</t>
  </si>
  <si>
    <t>Rs.7509</t>
  </si>
  <si>
    <t>Rs.7510</t>
  </si>
  <si>
    <t>Rs.8500</t>
  </si>
  <si>
    <t>Rs.8501</t>
  </si>
  <si>
    <t>Rs.8502</t>
  </si>
  <si>
    <t>Rs.8503</t>
  </si>
  <si>
    <t>Rs.8504</t>
  </si>
  <si>
    <t>Rs.8505</t>
  </si>
  <si>
    <t>Rs.8506</t>
  </si>
  <si>
    <t>Rs.8507</t>
  </si>
  <si>
    <t>Rs.8508</t>
  </si>
  <si>
    <t>Rs.8509</t>
  </si>
  <si>
    <t>Rs.4500</t>
  </si>
  <si>
    <t>Rs.4501</t>
  </si>
  <si>
    <t>Rs.4502</t>
  </si>
  <si>
    <t>Rs.4503</t>
  </si>
  <si>
    <t>Rs.4504</t>
  </si>
  <si>
    <t>Rs.4505</t>
  </si>
  <si>
    <t>Rs.4506</t>
  </si>
  <si>
    <t>Rs.4507</t>
  </si>
  <si>
    <t>Rs.4508</t>
  </si>
  <si>
    <t>Rs.4509</t>
  </si>
  <si>
    <t>Rs.8510</t>
  </si>
  <si>
    <t>Rs.8511</t>
  </si>
  <si>
    <t>Total Sales</t>
  </si>
  <si>
    <t>5,04,00</t>
  </si>
  <si>
    <t>5,04,01</t>
  </si>
  <si>
    <t>5,04,02</t>
  </si>
  <si>
    <t>5,04,03</t>
  </si>
  <si>
    <t>5,04,04</t>
  </si>
  <si>
    <t>5,04,05</t>
  </si>
  <si>
    <t>5,04,06</t>
  </si>
  <si>
    <t>5,04,07</t>
  </si>
  <si>
    <t>5,04,08</t>
  </si>
  <si>
    <t>5,04,09</t>
  </si>
  <si>
    <t>5,04,10</t>
  </si>
  <si>
    <t>5,04,11</t>
  </si>
  <si>
    <t>5,04,12</t>
  </si>
  <si>
    <t>5,04,13</t>
  </si>
  <si>
    <t>5,04,14</t>
  </si>
  <si>
    <t>5,04,15</t>
  </si>
  <si>
    <t>3,12,00</t>
  </si>
  <si>
    <t>3,12,01</t>
  </si>
  <si>
    <t>3,12,02</t>
  </si>
  <si>
    <t>3,12,03</t>
  </si>
  <si>
    <t>3,12,04</t>
  </si>
  <si>
    <t>3,12,05</t>
  </si>
  <si>
    <t>3,12,06</t>
  </si>
  <si>
    <t>3,12,07</t>
  </si>
  <si>
    <t>3,12,08</t>
  </si>
  <si>
    <t>3,12,09</t>
  </si>
  <si>
    <t>3,12,10</t>
  </si>
  <si>
    <t>5,0,000</t>
  </si>
  <si>
    <t>5,0,001</t>
  </si>
  <si>
    <t>5,0,002</t>
  </si>
  <si>
    <t>5,0,003</t>
  </si>
  <si>
    <t>5,0,004</t>
  </si>
  <si>
    <t>5,0,005</t>
  </si>
  <si>
    <t>5,0,006</t>
  </si>
  <si>
    <t>5,0,007</t>
  </si>
  <si>
    <t>5,0,008</t>
  </si>
  <si>
    <t>5,0,009</t>
  </si>
  <si>
    <t>5,0,010</t>
  </si>
  <si>
    <r>
      <t xml:space="preserve">  </t>
    </r>
    <r>
      <rPr>
        <sz val="10"/>
        <color theme="0"/>
        <rFont val="Calibri"/>
        <family val="2"/>
        <scheme val="minor"/>
      </rPr>
      <t xml:space="preserve">  Date</t>
    </r>
  </si>
  <si>
    <t>Profit</t>
  </si>
  <si>
    <t>GRAND TOTAL</t>
  </si>
  <si>
    <t>UNIT SOLD</t>
  </si>
  <si>
    <t>TOTAL PROFIT</t>
  </si>
  <si>
    <t>AVERAGE SALES</t>
  </si>
  <si>
    <t>Region</t>
  </si>
  <si>
    <t>East</t>
  </si>
  <si>
    <t>west</t>
  </si>
  <si>
    <t>north</t>
  </si>
  <si>
    <t>south</t>
  </si>
  <si>
    <t>Row Labels</t>
  </si>
  <si>
    <t>(blank)</t>
  </si>
  <si>
    <t>Grand Total</t>
  </si>
  <si>
    <t>Count of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</si>
</sst>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0"/>
      <name val="Calibri"/>
      <family val="2"/>
      <scheme val="minor"/>
    </font>
    <font>
      <sz val="8"/>
      <name val="Calibri"/>
      <family val="2"/>
      <scheme val="minor"/>
    </font>
    <font>
      <sz val="10"/>
      <color theme="0"/>
      <name val="Calibri"/>
      <family val="2"/>
      <scheme val="minor"/>
    </font>
  </fonts>
  <fills count="4">
    <fill>
      <patternFill patternType="none"/>
    </fill>
    <fill>
      <patternFill patternType="gray125"/>
    </fill>
    <fill>
      <patternFill patternType="solid">
        <fgColor theme="4"/>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3" fontId="0" fillId="0" borderId="0" xfId="0" applyNumberFormat="1"/>
    <xf numFmtId="0" fontId="1" fillId="2" borderId="0" xfId="0" applyFont="1" applyFill="1"/>
    <xf numFmtId="0" fontId="0" fillId="0" borderId="0" xfId="0" applyAlignment="1">
      <alignment horizontal="left"/>
    </xf>
    <xf numFmtId="0" fontId="1" fillId="2" borderId="0" xfId="0" applyFont="1" applyFill="1" applyAlignment="1">
      <alignment horizontal="center"/>
    </xf>
    <xf numFmtId="0" fontId="0" fillId="0" borderId="0" xfId="0" applyAlignment="1">
      <alignment horizontal="center"/>
    </xf>
    <xf numFmtId="3" fontId="0" fillId="0" borderId="0" xfId="0" applyNumberFormat="1" applyAlignment="1">
      <alignment horizontal="center"/>
    </xf>
    <xf numFmtId="0" fontId="0" fillId="3" borderId="0" xfId="0" applyFill="1"/>
  </cellXfs>
  <cellStyles count="1">
    <cellStyle name="Normal" xfId="0" builtinId="0"/>
  </cellStyles>
  <dxfs count="8">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3" formatCode="#,##0"/>
    </dxf>
    <dxf>
      <numFmt numFmtId="3" formatCode="#,##0"/>
    </dxf>
    <dxf>
      <numFmt numFmtId="19" formatCode="dd/mm/yyyy"/>
    </dxf>
    <dxf>
      <font>
        <b val="0"/>
        <i val="0"/>
        <strike val="0"/>
        <condense val="0"/>
        <extend val="0"/>
        <outline val="0"/>
        <shadow val="0"/>
        <u val="none"/>
        <vertAlign val="baseline"/>
        <sz val="11"/>
        <color theme="0"/>
        <name val="Calibri"/>
        <family val="2"/>
        <scheme val="minor"/>
      </font>
      <fill>
        <patternFill patternType="solid">
          <fgColor indexed="6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none" baseline="0">
                <a:solidFill>
                  <a:schemeClr val="lt1">
                    <a:lumMod val="85000"/>
                  </a:schemeClr>
                </a:solidFill>
                <a:latin typeface="+mn-lt"/>
                <a:ea typeface="+mn-ea"/>
                <a:cs typeface="+mn-cs"/>
              </a:defRPr>
            </a:pPr>
            <a:r>
              <a:rPr lang="en-US" sz="1800">
                <a:latin typeface="Times New Roman" panose="02020603050405020304" pitchFamily="18" charset="0"/>
                <a:cs typeface="Times New Roman" panose="02020603050405020304" pitchFamily="18" charset="0"/>
              </a:rPr>
              <a:t>SALES</a:t>
            </a:r>
            <a:r>
              <a:rPr lang="en-US" sz="1800" baseline="0">
                <a:latin typeface="Times New Roman" panose="02020603050405020304" pitchFamily="18" charset="0"/>
                <a:cs typeface="Times New Roman" panose="02020603050405020304" pitchFamily="18" charset="0"/>
              </a:rPr>
              <a:t> BY PRODUCTS</a:t>
            </a:r>
            <a:endParaRPr lang="en-US" sz="1800">
              <a:latin typeface="Times New Roman" panose="02020603050405020304" pitchFamily="18" charset="0"/>
              <a:cs typeface="Times New Roman" panose="02020603050405020304" pitchFamily="18" charset="0"/>
            </a:endParaRPr>
          </a:p>
        </c:rich>
      </c:tx>
      <c:layout>
        <c:manualLayout>
          <c:xMode val="edge"/>
          <c:yMode val="edge"/>
          <c:x val="0.34993744531933507"/>
          <c:y val="0.11934966462525518"/>
        </c:manualLayout>
      </c:layout>
      <c:overlay val="0"/>
      <c:spPr>
        <a:noFill/>
        <a:ln>
          <a:noFill/>
        </a:ln>
        <a:effectLst/>
      </c:spPr>
      <c:txPr>
        <a:bodyPr rot="0" spcFirstLastPara="1" vertOverflow="ellipsis" vert="horz" wrap="square" anchor="ctr" anchorCtr="1"/>
        <a:lstStyle/>
        <a:p>
          <a:pPr>
            <a:defRPr sz="18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noFill/>
            <a:ln w="9525" cap="flat" cmpd="sng" algn="ctr">
              <a:solidFill>
                <a:schemeClr val="accent1"/>
              </a:solidFill>
              <a:miter lim="800000"/>
            </a:ln>
            <a:effectLst>
              <a:glow rad="63500">
                <a:schemeClr val="accent1">
                  <a:satMod val="175000"/>
                  <a:alpha val="25000"/>
                </a:schemeClr>
              </a:glow>
            </a:effectLst>
          </c:spPr>
          <c:invertIfNegative val="0"/>
          <c:cat>
            <c:strLit>
              <c:ptCount val="11"/>
              <c:pt idx="0">
                <c:v>fan</c:v>
              </c:pt>
              <c:pt idx="1">
                <c:v>fridge</c:v>
              </c:pt>
              <c:pt idx="2">
                <c:v>grinder</c:v>
              </c:pt>
              <c:pt idx="3">
                <c:v>light </c:v>
              </c:pt>
              <c:pt idx="4">
                <c:v>mixie  </c:v>
              </c:pt>
              <c:pt idx="5">
                <c:v>oven</c:v>
              </c:pt>
              <c:pt idx="6">
                <c:v>shoes </c:v>
              </c:pt>
              <c:pt idx="7">
                <c:v>table</c:v>
              </c:pt>
              <c:pt idx="8">
                <c:v>tent</c:v>
              </c:pt>
              <c:pt idx="9">
                <c:v>tv</c:v>
              </c:pt>
              <c:pt idx="10">
                <c:v>(blank)</c:v>
              </c:pt>
            </c:strLit>
          </c:cat>
          <c:val>
            <c:numLit>
              <c:formatCode>General</c:formatCode>
              <c:ptCount val="11"/>
              <c:pt idx="0">
                <c:v>5</c:v>
              </c:pt>
              <c:pt idx="1">
                <c:v>5</c:v>
              </c:pt>
              <c:pt idx="2">
                <c:v>5</c:v>
              </c:pt>
              <c:pt idx="3">
                <c:v>5</c:v>
              </c:pt>
              <c:pt idx="4">
                <c:v>5</c:v>
              </c:pt>
              <c:pt idx="5">
                <c:v>5</c:v>
              </c:pt>
              <c:pt idx="6">
                <c:v>5</c:v>
              </c:pt>
              <c:pt idx="7">
                <c:v>5</c:v>
              </c:pt>
              <c:pt idx="8">
                <c:v>5</c:v>
              </c:pt>
              <c:pt idx="9">
                <c:v>6</c:v>
              </c:pt>
              <c:pt idx="10">
                <c:v>0</c:v>
              </c:pt>
            </c:numLit>
          </c:val>
          <c:extLst>
            <c:ext xmlns:c16="http://schemas.microsoft.com/office/drawing/2014/chart" uri="{C3380CC4-5D6E-409C-BE32-E72D297353CC}">
              <c16:uniqueId val="{00000000-B0A1-4758-AA3C-F8509ED4F0E1}"/>
            </c:ext>
          </c:extLst>
        </c:ser>
        <c:dLbls>
          <c:showLegendKey val="0"/>
          <c:showVal val="0"/>
          <c:showCatName val="0"/>
          <c:showSerName val="0"/>
          <c:showPercent val="0"/>
          <c:showBubbleSize val="0"/>
        </c:dLbls>
        <c:gapWidth val="182"/>
        <c:overlap val="-50"/>
        <c:axId val="548612032"/>
        <c:axId val="548598112"/>
      </c:barChart>
      <c:catAx>
        <c:axId val="54861203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8598112"/>
        <c:crosses val="autoZero"/>
        <c:auto val="1"/>
        <c:lblAlgn val="ctr"/>
        <c:lblOffset val="100"/>
        <c:noMultiLvlLbl val="0"/>
      </c:catAx>
      <c:valAx>
        <c:axId val="548598112"/>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861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bg1"/>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SALES BY PRODUCTS</a:t>
            </a:r>
          </a:p>
        </c:rich>
      </c:tx>
      <c:layout>
        <c:manualLayout>
          <c:xMode val="edge"/>
          <c:yMode val="edge"/>
          <c:x val="0.23697900262467192"/>
          <c:y val="0.13786818314377369"/>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6">
              <a:alpha val="85000"/>
            </a:schemeClr>
          </a:solidFill>
          <a:ln w="31750" cap="rnd" cmpd="sng" algn="ctr">
            <a:solidFill>
              <a:schemeClr val="accent6"/>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31750" cap="rnd" cmpd="sng" algn="ctr">
            <a:solidFill>
              <a:schemeClr val="accent6"/>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31750" cap="rnd" cmpd="sng" algn="ctr">
            <a:solidFill>
              <a:schemeClr val="accent6"/>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31750" cap="rnd" cmpd="sng" algn="ctr">
            <a:solidFill>
              <a:schemeClr val="accent6"/>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6"/>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799978127734033"/>
          <c:w val="0.92216622922134728"/>
          <c:h val="0.42639071157771946"/>
        </c:manualLayout>
      </c:layout>
      <c:lineChart>
        <c:grouping val="standard"/>
        <c:varyColors val="0"/>
        <c:ser>
          <c:idx val="0"/>
          <c:order val="0"/>
          <c:tx>
            <c:v>Total</c:v>
          </c:tx>
          <c:spPr>
            <a:ln w="31750" cap="rnd">
              <a:solidFill>
                <a:schemeClr val="accent6"/>
              </a:solidFill>
              <a:round/>
            </a:ln>
            <a:effectLst/>
          </c:spPr>
          <c:marker>
            <c:symbol val="circle"/>
            <c:size val="17"/>
            <c:spPr>
              <a:solidFill>
                <a:schemeClr val="accent6"/>
              </a:solidFill>
              <a:ln>
                <a:noFill/>
              </a:ln>
              <a:effectLst/>
            </c:spPr>
          </c:marker>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1"/>
              <c:pt idx="0">
                <c:v>fan</c:v>
              </c:pt>
              <c:pt idx="1">
                <c:v>fridge</c:v>
              </c:pt>
              <c:pt idx="2">
                <c:v>grinder</c:v>
              </c:pt>
              <c:pt idx="3">
                <c:v>light </c:v>
              </c:pt>
              <c:pt idx="4">
                <c:v>mixie  </c:v>
              </c:pt>
              <c:pt idx="5">
                <c:v>oven</c:v>
              </c:pt>
              <c:pt idx="6">
                <c:v>shoes </c:v>
              </c:pt>
              <c:pt idx="7">
                <c:v>table</c:v>
              </c:pt>
              <c:pt idx="8">
                <c:v>tent</c:v>
              </c:pt>
              <c:pt idx="9">
                <c:v>tv</c:v>
              </c:pt>
              <c:pt idx="10">
                <c:v>(blank)</c:v>
              </c:pt>
            </c:strLit>
          </c:cat>
          <c:val>
            <c:numLit>
              <c:formatCode>General</c:formatCode>
              <c:ptCount val="11"/>
              <c:pt idx="0">
                <c:v>5</c:v>
              </c:pt>
              <c:pt idx="1">
                <c:v>5</c:v>
              </c:pt>
              <c:pt idx="2">
                <c:v>5</c:v>
              </c:pt>
              <c:pt idx="3">
                <c:v>5</c:v>
              </c:pt>
              <c:pt idx="4">
                <c:v>5</c:v>
              </c:pt>
              <c:pt idx="5">
                <c:v>5</c:v>
              </c:pt>
              <c:pt idx="6">
                <c:v>5</c:v>
              </c:pt>
              <c:pt idx="7">
                <c:v>5</c:v>
              </c:pt>
              <c:pt idx="8">
                <c:v>5</c:v>
              </c:pt>
              <c:pt idx="9">
                <c:v>6</c:v>
              </c:pt>
              <c:pt idx="10">
                <c:v>0</c:v>
              </c:pt>
            </c:numLit>
          </c:val>
          <c:smooth val="0"/>
          <c:extLst>
            <c:ext xmlns:c16="http://schemas.microsoft.com/office/drawing/2014/chart" uri="{C3380CC4-5D6E-409C-BE32-E72D297353CC}">
              <c16:uniqueId val="{00000000-1560-4537-9D1A-1B79DB0F765E}"/>
            </c:ext>
          </c:extLst>
        </c:ser>
        <c:dLbls>
          <c:dLblPos val="ctr"/>
          <c:showLegendKey val="0"/>
          <c:showVal val="1"/>
          <c:showCatName val="0"/>
          <c:showSerName val="0"/>
          <c:showPercent val="0"/>
          <c:showBubbleSize val="0"/>
        </c:dLbls>
        <c:marker val="1"/>
        <c:smooth val="0"/>
        <c:axId val="662398048"/>
        <c:axId val="662406688"/>
      </c:lineChart>
      <c:catAx>
        <c:axId val="6623980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662406688"/>
        <c:crosses val="autoZero"/>
        <c:auto val="1"/>
        <c:lblAlgn val="ctr"/>
        <c:lblOffset val="100"/>
        <c:noMultiLvlLbl val="0"/>
      </c:catAx>
      <c:valAx>
        <c:axId val="66240668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6239804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dk1">
          <a:lumMod val="25000"/>
          <a:lumOff val="7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r>
              <a:rPr lang="en-US" sz="1800">
                <a:solidFill>
                  <a:schemeClr val="tx1"/>
                </a:solidFill>
                <a:latin typeface="Times New Roman" panose="02020603050405020304" pitchFamily="18" charset="0"/>
                <a:cs typeface="Times New Roman" panose="02020603050405020304" pitchFamily="18" charset="0"/>
              </a:rPr>
              <a:t>SALES</a:t>
            </a:r>
            <a:r>
              <a:rPr lang="en-US" baseline="0">
                <a:solidFill>
                  <a:schemeClr val="tx1"/>
                </a:solidFill>
                <a:latin typeface="Times New Roman" panose="02020603050405020304" pitchFamily="18" charset="0"/>
                <a:cs typeface="Times New Roman" panose="02020603050405020304" pitchFamily="18" charset="0"/>
              </a:rPr>
              <a:t> BY EMPLOYEE</a:t>
            </a:r>
            <a:endParaRPr lang="en-US">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0.30534011373578301"/>
          <c:y val="0.13786818314377369"/>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endParaRPr lang="en-US"/>
        </a:p>
      </c:txPr>
    </c:title>
    <c:autoTitleDeleted val="0"/>
    <c:pivotFmts>
      <c:pivotFmt>
        <c:idx val="0"/>
        <c:spPr>
          <a:pattFill prst="ltUpDiag">
            <a:fgClr>
              <a:schemeClr val="accent2"/>
            </a:fgClr>
            <a:bgClr>
              <a:schemeClr val="lt1"/>
            </a:bgClr>
          </a:pattFill>
          <a:ln>
            <a:noFill/>
          </a:ln>
          <a:effectLst/>
        </c:spPr>
        <c:marker>
          <c:spPr>
            <a:solidFill>
              <a:schemeClr val="accent2"/>
            </a:solidFill>
            <a:ln w="22225">
              <a:solidFill>
                <a:schemeClr val="lt1"/>
              </a:solidFill>
              <a:round/>
            </a:ln>
            <a:effectLst/>
          </c:spPr>
        </c:marker>
        <c:dLbl>
          <c:idx val="0"/>
          <c:spPr>
            <a:solidFill>
              <a:schemeClr val="accent2">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pattFill prst="ltUpDiag">
            <a:fgClr>
              <a:schemeClr val="accent2"/>
            </a:fgClr>
            <a:bgClr>
              <a:schemeClr val="lt1"/>
            </a:bgClr>
          </a:pattFill>
          <a:ln>
            <a:noFill/>
          </a:ln>
          <a:effectLst/>
        </c:spPr>
        <c:dLbl>
          <c:idx val="0"/>
          <c:spPr>
            <a:solidFill>
              <a:srgbClr val="ED7D31">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pattFill prst="ltUpDiag">
            <a:fgClr>
              <a:schemeClr val="accent2"/>
            </a:fgClr>
            <a:bgClr>
              <a:schemeClr val="lt1"/>
            </a:bgClr>
          </a:pattFill>
          <a:ln>
            <a:noFill/>
          </a:ln>
          <a:effectLst/>
        </c:spPr>
        <c:marker>
          <c:symbol val="none"/>
        </c:marker>
        <c:dLbl>
          <c:idx val="0"/>
          <c:spPr>
            <a:solidFill>
              <a:srgbClr val="ED7D31">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2"/>
            </a:fgClr>
            <a:bgClr>
              <a:schemeClr val="lt1"/>
            </a:bgClr>
          </a:pattFill>
          <a:ln>
            <a:noFill/>
          </a:ln>
          <a:effectLst/>
        </c:spPr>
        <c:marker>
          <c:symbol val="none"/>
        </c:marker>
        <c:dLbl>
          <c:idx val="0"/>
          <c:spPr>
            <a:solidFill>
              <a:srgbClr val="ED7D31">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2"/>
            </a:fgClr>
            <a:bgClr>
              <a:schemeClr val="lt1"/>
            </a:bgClr>
          </a:pattFill>
          <a:ln>
            <a:noFill/>
          </a:ln>
          <a:effectLst/>
        </c:spPr>
        <c:marker>
          <c:symbol val="none"/>
        </c:marker>
        <c:dLbl>
          <c:idx val="0"/>
          <c:spPr>
            <a:solidFill>
              <a:srgbClr val="ED7D31">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pattFill prst="ltUpDiag">
              <a:fgClr>
                <a:schemeClr val="accent2"/>
              </a:fgClr>
              <a:bgClr>
                <a:schemeClr val="lt1"/>
              </a:bgClr>
            </a:pattFill>
            <a:ln>
              <a:noFill/>
            </a:ln>
            <a:effectLst/>
          </c:spPr>
          <c:invertIfNegative val="0"/>
          <c:trendline>
            <c:spPr>
              <a:ln w="28575" cap="rnd">
                <a:solidFill>
                  <a:schemeClr val="lt1">
                    <a:alpha val="50000"/>
                  </a:schemeClr>
                </a:solidFill>
                <a:round/>
              </a:ln>
              <a:effectLst/>
            </c:spPr>
            <c:trendlineType val="linear"/>
            <c:dispRSqr val="0"/>
            <c:dispEq val="0"/>
          </c:trendline>
          <c:errBars>
            <c:errBarType val="both"/>
            <c:errValType val="stdErr"/>
            <c:noEndCap val="0"/>
            <c:spPr>
              <a:noFill/>
              <a:ln w="9525">
                <a:solidFill>
                  <a:schemeClr val="accent2">
                    <a:lumMod val="60000"/>
                    <a:lumOff val="40000"/>
                  </a:schemeClr>
                </a:solidFill>
                <a:round/>
              </a:ln>
              <a:effectLst>
                <a:glow rad="25400">
                  <a:schemeClr val="lt1"/>
                </a:glow>
              </a:effectLst>
            </c:spPr>
          </c:errBars>
          <c:cat>
            <c:strLit>
              <c:ptCount val="5"/>
              <c:pt idx="0">
                <c:v>Arun</c:v>
              </c:pt>
              <c:pt idx="1">
                <c:v>Bala</c:v>
              </c:pt>
              <c:pt idx="2">
                <c:v>Chitra</c:v>
              </c:pt>
              <c:pt idx="3">
                <c:v>Deepak</c:v>
              </c:pt>
              <c:pt idx="4">
                <c:v>(blank)</c:v>
              </c:pt>
            </c:strLit>
          </c:cat>
          <c:val>
            <c:numLit>
              <c:formatCode>General</c:formatCode>
              <c:ptCount val="5"/>
              <c:pt idx="0">
                <c:v>13</c:v>
              </c:pt>
              <c:pt idx="1">
                <c:v>13</c:v>
              </c:pt>
              <c:pt idx="2">
                <c:v>13</c:v>
              </c:pt>
              <c:pt idx="3">
                <c:v>12</c:v>
              </c:pt>
              <c:pt idx="4">
                <c:v>0</c:v>
              </c:pt>
            </c:numLit>
          </c:val>
          <c:extLst>
            <c:ext xmlns:c16="http://schemas.microsoft.com/office/drawing/2014/chart" uri="{C3380CC4-5D6E-409C-BE32-E72D297353CC}">
              <c16:uniqueId val="{00000001-668F-4064-BD7B-1E200C7A1162}"/>
            </c:ext>
          </c:extLst>
        </c:ser>
        <c:dLbls>
          <c:showLegendKey val="0"/>
          <c:showVal val="0"/>
          <c:showCatName val="0"/>
          <c:showSerName val="0"/>
          <c:showPercent val="0"/>
          <c:showBubbleSize val="0"/>
        </c:dLbls>
        <c:gapWidth val="269"/>
        <c:overlap val="-20"/>
        <c:axId val="662407648"/>
        <c:axId val="662409088"/>
      </c:barChart>
      <c:catAx>
        <c:axId val="662407648"/>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2">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662409088"/>
        <c:crosses val="autoZero"/>
        <c:auto val="1"/>
        <c:lblAlgn val="ctr"/>
        <c:lblOffset val="100"/>
        <c:noMultiLvlLbl val="0"/>
      </c:catAx>
      <c:valAx>
        <c:axId val="6624090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62407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 TOTAL</a:t>
            </a:r>
            <a:r>
              <a:rPr lang="en-US" b="1" baseline="0"/>
              <a:t> SALES BY REGION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s>
    <c:plotArea>
      <c:layout>
        <c:manualLayout>
          <c:layoutTarget val="inner"/>
          <c:xMode val="edge"/>
          <c:yMode val="edge"/>
          <c:x val="0.34289698162729659"/>
          <c:y val="0.28010498687664037"/>
          <c:w val="0.35240048118985129"/>
          <c:h val="0.58733413531641876"/>
        </c:manualLayout>
      </c:layout>
      <c:doughnutChart>
        <c:varyColors val="1"/>
        <c:ser>
          <c:idx val="0"/>
          <c:order val="0"/>
          <c:tx>
            <c:v>Total</c:v>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339B-458F-8C18-B54086DC3A50}"/>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339B-458F-8C18-B54086DC3A50}"/>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339B-458F-8C18-B54086DC3A50}"/>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339B-458F-8C18-B54086DC3A50}"/>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339B-458F-8C18-B54086DC3A5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East</c:v>
              </c:pt>
              <c:pt idx="1">
                <c:v>north</c:v>
              </c:pt>
              <c:pt idx="2">
                <c:v>south</c:v>
              </c:pt>
              <c:pt idx="3">
                <c:v>west</c:v>
              </c:pt>
              <c:pt idx="4">
                <c:v>(blank)</c:v>
              </c:pt>
            </c:strLit>
          </c:cat>
          <c:val>
            <c:numLit>
              <c:formatCode>General</c:formatCode>
              <c:ptCount val="5"/>
              <c:pt idx="0">
                <c:v>1539</c:v>
              </c:pt>
              <c:pt idx="1">
                <c:v>1940</c:v>
              </c:pt>
              <c:pt idx="2">
                <c:v>2315</c:v>
              </c:pt>
              <c:pt idx="3">
                <c:v>2188</c:v>
              </c:pt>
              <c:pt idx="4">
                <c:v>0</c:v>
              </c:pt>
            </c:numLit>
          </c:val>
          <c:extLst>
            <c:ext xmlns:c16="http://schemas.microsoft.com/office/drawing/2014/chart" uri="{C3380CC4-5D6E-409C-BE32-E72D297353CC}">
              <c16:uniqueId val="{0000000A-339B-458F-8C18-B54086DC3A5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53340</xdr:colOff>
      <xdr:row>1</xdr:row>
      <xdr:rowOff>160020</xdr:rowOff>
    </xdr:from>
    <xdr:to>
      <xdr:col>8</xdr:col>
      <xdr:colOff>53340</xdr:colOff>
      <xdr:row>15</xdr:row>
      <xdr:rowOff>66675</xdr:rowOff>
    </xdr:to>
    <mc:AlternateContent xmlns:mc="http://schemas.openxmlformats.org/markup-compatibility/2006">
      <mc:Choice xmlns:a14="http://schemas.microsoft.com/office/drawing/2010/main" Requires="a14">
        <xdr:graphicFrame macro="">
          <xdr:nvGraphicFramePr>
            <xdr:cNvPr id="6" name="Employee">
              <a:extLst>
                <a:ext uri="{FF2B5EF4-FFF2-40B4-BE49-F238E27FC236}">
                  <a16:creationId xmlns:a16="http://schemas.microsoft.com/office/drawing/2014/main" id="{A8E9E15D-0871-F685-E529-C852C9D61D13}"/>
                </a:ext>
              </a:extLst>
            </xdr:cNvPr>
            <xdr:cNvGraphicFramePr/>
          </xdr:nvGraphicFramePr>
          <xdr:xfrm>
            <a:off x="0" y="0"/>
            <a:ext cx="0" cy="0"/>
          </xdr:xfrm>
          <a:graphic>
            <a:graphicData uri="http://schemas.microsoft.com/office/drawing/2010/slicer">
              <sle:slicer xmlns:sle="http://schemas.microsoft.com/office/drawing/2010/slicer" name="Employee"/>
            </a:graphicData>
          </a:graphic>
        </xdr:graphicFrame>
      </mc:Choice>
      <mc:Fallback>
        <xdr:sp macro="" textlink="">
          <xdr:nvSpPr>
            <xdr:cNvPr id="0" name=""/>
            <xdr:cNvSpPr>
              <a:spLocks noTextEdit="1"/>
            </xdr:cNvSpPr>
          </xdr:nvSpPr>
          <xdr:spPr>
            <a:xfrm>
              <a:off x="3970020" y="342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53340</xdr:colOff>
      <xdr:row>2</xdr:row>
      <xdr:rowOff>0</xdr:rowOff>
    </xdr:from>
    <xdr:to>
      <xdr:col>5</xdr:col>
      <xdr:colOff>53340</xdr:colOff>
      <xdr:row>15</xdr:row>
      <xdr:rowOff>89535</xdr:rowOff>
    </xdr:to>
    <mc:AlternateContent xmlns:mc="http://schemas.openxmlformats.org/markup-compatibility/2006">
      <mc:Choice xmlns:a14="http://schemas.microsoft.com/office/drawing/2010/main" Requires="a14">
        <xdr:graphicFrame macro="">
          <xdr:nvGraphicFramePr>
            <xdr:cNvPr id="7" name="Products">
              <a:extLst>
                <a:ext uri="{FF2B5EF4-FFF2-40B4-BE49-F238E27FC236}">
                  <a16:creationId xmlns:a16="http://schemas.microsoft.com/office/drawing/2014/main" id="{3F90E30D-0A41-6A6B-D967-F749291364E5}"/>
                </a:ext>
              </a:extLst>
            </xdr:cNvPr>
            <xdr:cNvGraphicFramePr/>
          </xdr:nvGraphicFramePr>
          <xdr:xfrm>
            <a:off x="0" y="0"/>
            <a:ext cx="0" cy="0"/>
          </xdr:xfrm>
          <a:graphic>
            <a:graphicData uri="http://schemas.microsoft.com/office/drawing/2010/slicer">
              <sle:slicer xmlns:sle="http://schemas.microsoft.com/office/drawing/2010/slicer" name="Products"/>
            </a:graphicData>
          </a:graphic>
        </xdr:graphicFrame>
      </mc:Choice>
      <mc:Fallback>
        <xdr:sp macro="" textlink="">
          <xdr:nvSpPr>
            <xdr:cNvPr id="0" name=""/>
            <xdr:cNvSpPr>
              <a:spLocks noTextEdit="1"/>
            </xdr:cNvSpPr>
          </xdr:nvSpPr>
          <xdr:spPr>
            <a:xfrm>
              <a:off x="2141220" y="365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160020</xdr:colOff>
      <xdr:row>15</xdr:row>
      <xdr:rowOff>83821</xdr:rowOff>
    </xdr:from>
    <xdr:to>
      <xdr:col>5</xdr:col>
      <xdr:colOff>160020</xdr:colOff>
      <xdr:row>20</xdr:row>
      <xdr:rowOff>60960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D478E516-0801-52E5-BDAD-16EDC5D3522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247900" y="2827021"/>
              <a:ext cx="1828800" cy="891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181428</xdr:colOff>
      <xdr:row>5</xdr:row>
      <xdr:rowOff>12095</xdr:rowOff>
    </xdr:to>
    <xdr:sp macro="" textlink="">
      <xdr:nvSpPr>
        <xdr:cNvPr id="3" name="Rectangle 2">
          <a:extLst>
            <a:ext uri="{FF2B5EF4-FFF2-40B4-BE49-F238E27FC236}">
              <a16:creationId xmlns:a16="http://schemas.microsoft.com/office/drawing/2014/main" id="{E2E4D115-FB32-C281-BCBC-1E633575684F}"/>
            </a:ext>
          </a:extLst>
        </xdr:cNvPr>
        <xdr:cNvSpPr/>
      </xdr:nvSpPr>
      <xdr:spPr>
        <a:xfrm>
          <a:off x="0" y="0"/>
          <a:ext cx="14090952" cy="919238"/>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t>                                                                                                               </a:t>
          </a:r>
          <a:r>
            <a:rPr lang="en-IN" sz="4800" b="1" baseline="0">
              <a:solidFill>
                <a:schemeClr val="tx1"/>
              </a:solidFill>
              <a:latin typeface="Times New Roman" panose="02020603050405020304" pitchFamily="18" charset="0"/>
              <a:cs typeface="Times New Roman" panose="02020603050405020304" pitchFamily="18" charset="0"/>
            </a:rPr>
            <a:t>SALES DASHBOARD  - 2026</a:t>
          </a:r>
          <a:endParaRPr lang="en-IN" sz="48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4</xdr:row>
      <xdr:rowOff>137160</xdr:rowOff>
    </xdr:from>
    <xdr:to>
      <xdr:col>4</xdr:col>
      <xdr:colOff>403860</xdr:colOff>
      <xdr:row>9</xdr:row>
      <xdr:rowOff>106680</xdr:rowOff>
    </xdr:to>
    <xdr:sp macro="" textlink="">
      <xdr:nvSpPr>
        <xdr:cNvPr id="5" name="Rectangle: Rounded Corners 4">
          <a:extLst>
            <a:ext uri="{FF2B5EF4-FFF2-40B4-BE49-F238E27FC236}">
              <a16:creationId xmlns:a16="http://schemas.microsoft.com/office/drawing/2014/main" id="{D735D3C6-CEFD-6A36-74E4-EBB6B5EFA73A}"/>
            </a:ext>
          </a:extLst>
        </xdr:cNvPr>
        <xdr:cNvSpPr/>
      </xdr:nvSpPr>
      <xdr:spPr>
        <a:xfrm>
          <a:off x="0" y="868680"/>
          <a:ext cx="2842260" cy="883920"/>
        </a:xfrm>
        <a:prstGeom prst="roundRect">
          <a:avLst>
            <a:gd name="adj" fmla="val 15546"/>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U</a:t>
          </a:r>
        </a:p>
      </xdr:txBody>
    </xdr:sp>
    <xdr:clientData/>
  </xdr:twoCellAnchor>
  <xdr:twoCellAnchor>
    <xdr:from>
      <xdr:col>0</xdr:col>
      <xdr:colOff>0</xdr:colOff>
      <xdr:row>4</xdr:row>
      <xdr:rowOff>137160</xdr:rowOff>
    </xdr:from>
    <xdr:to>
      <xdr:col>1</xdr:col>
      <xdr:colOff>129540</xdr:colOff>
      <xdr:row>9</xdr:row>
      <xdr:rowOff>129540</xdr:rowOff>
    </xdr:to>
    <xdr:sp macro="" textlink="">
      <xdr:nvSpPr>
        <xdr:cNvPr id="6" name="Rectangle: Rounded Corners 5">
          <a:extLst>
            <a:ext uri="{FF2B5EF4-FFF2-40B4-BE49-F238E27FC236}">
              <a16:creationId xmlns:a16="http://schemas.microsoft.com/office/drawing/2014/main" id="{5BE48C17-981F-419F-A9EE-0CF371F5FC34}"/>
            </a:ext>
          </a:extLst>
        </xdr:cNvPr>
        <xdr:cNvSpPr/>
      </xdr:nvSpPr>
      <xdr:spPr>
        <a:xfrm>
          <a:off x="0" y="868680"/>
          <a:ext cx="739140" cy="906780"/>
        </a:xfrm>
        <a:prstGeom prst="roundRect">
          <a:avLst>
            <a:gd name="adj" fmla="val 15546"/>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434340</xdr:colOff>
      <xdr:row>4</xdr:row>
      <xdr:rowOff>137160</xdr:rowOff>
    </xdr:from>
    <xdr:to>
      <xdr:col>9</xdr:col>
      <xdr:colOff>434340</xdr:colOff>
      <xdr:row>9</xdr:row>
      <xdr:rowOff>106680</xdr:rowOff>
    </xdr:to>
    <xdr:sp macro="" textlink="">
      <xdr:nvSpPr>
        <xdr:cNvPr id="7" name="Rectangle: Rounded Corners 6">
          <a:extLst>
            <a:ext uri="{FF2B5EF4-FFF2-40B4-BE49-F238E27FC236}">
              <a16:creationId xmlns:a16="http://schemas.microsoft.com/office/drawing/2014/main" id="{025DD046-2A66-4BA0-B336-C9E0C5BFD0AC}"/>
            </a:ext>
          </a:extLst>
        </xdr:cNvPr>
        <xdr:cNvSpPr/>
      </xdr:nvSpPr>
      <xdr:spPr>
        <a:xfrm>
          <a:off x="2872740" y="868680"/>
          <a:ext cx="3048000" cy="883920"/>
        </a:xfrm>
        <a:prstGeom prst="roundRect">
          <a:avLst>
            <a:gd name="adj" fmla="val 15546"/>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457200</xdr:colOff>
      <xdr:row>4</xdr:row>
      <xdr:rowOff>152400</xdr:rowOff>
    </xdr:from>
    <xdr:to>
      <xdr:col>14</xdr:col>
      <xdr:colOff>579120</xdr:colOff>
      <xdr:row>9</xdr:row>
      <xdr:rowOff>129540</xdr:rowOff>
    </xdr:to>
    <xdr:sp macro="" textlink="">
      <xdr:nvSpPr>
        <xdr:cNvPr id="8" name="Rectangle: Rounded Corners 7">
          <a:extLst>
            <a:ext uri="{FF2B5EF4-FFF2-40B4-BE49-F238E27FC236}">
              <a16:creationId xmlns:a16="http://schemas.microsoft.com/office/drawing/2014/main" id="{B807941E-303D-4C3B-96D8-A3EA16E42084}"/>
            </a:ext>
          </a:extLst>
        </xdr:cNvPr>
        <xdr:cNvSpPr/>
      </xdr:nvSpPr>
      <xdr:spPr>
        <a:xfrm>
          <a:off x="5943600" y="883920"/>
          <a:ext cx="3169920" cy="891540"/>
        </a:xfrm>
        <a:prstGeom prst="roundRect">
          <a:avLst>
            <a:gd name="adj" fmla="val 15546"/>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21385</xdr:colOff>
      <xdr:row>4</xdr:row>
      <xdr:rowOff>144206</xdr:rowOff>
    </xdr:from>
    <xdr:to>
      <xdr:col>20</xdr:col>
      <xdr:colOff>101928</xdr:colOff>
      <xdr:row>9</xdr:row>
      <xdr:rowOff>144206</xdr:rowOff>
    </xdr:to>
    <xdr:sp macro="" textlink="">
      <xdr:nvSpPr>
        <xdr:cNvPr id="10" name="Rectangle: Rounded Corners 9">
          <a:extLst>
            <a:ext uri="{FF2B5EF4-FFF2-40B4-BE49-F238E27FC236}">
              <a16:creationId xmlns:a16="http://schemas.microsoft.com/office/drawing/2014/main" id="{56AF9F15-83B0-45DF-BB91-B9117F7714AD}"/>
            </a:ext>
          </a:extLst>
        </xdr:cNvPr>
        <xdr:cNvSpPr/>
      </xdr:nvSpPr>
      <xdr:spPr>
        <a:xfrm>
          <a:off x="9116224" y="865238"/>
          <a:ext cx="3112156" cy="901291"/>
        </a:xfrm>
        <a:prstGeom prst="roundRect">
          <a:avLst>
            <a:gd name="adj" fmla="val 15546"/>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AVG SALES</a:t>
          </a:r>
        </a:p>
      </xdr:txBody>
    </xdr:sp>
    <xdr:clientData/>
  </xdr:twoCellAnchor>
  <xdr:twoCellAnchor>
    <xdr:from>
      <xdr:col>4</xdr:col>
      <xdr:colOff>441960</xdr:colOff>
      <xdr:row>4</xdr:row>
      <xdr:rowOff>144780</xdr:rowOff>
    </xdr:from>
    <xdr:to>
      <xdr:col>6</xdr:col>
      <xdr:colOff>53340</xdr:colOff>
      <xdr:row>9</xdr:row>
      <xdr:rowOff>114300</xdr:rowOff>
    </xdr:to>
    <xdr:sp macro="" textlink="">
      <xdr:nvSpPr>
        <xdr:cNvPr id="11" name="Rectangle: Rounded Corners 10">
          <a:extLst>
            <a:ext uri="{FF2B5EF4-FFF2-40B4-BE49-F238E27FC236}">
              <a16:creationId xmlns:a16="http://schemas.microsoft.com/office/drawing/2014/main" id="{7CB0FCE5-D79D-42CF-B12D-DF6EC3FE8E22}"/>
            </a:ext>
          </a:extLst>
        </xdr:cNvPr>
        <xdr:cNvSpPr/>
      </xdr:nvSpPr>
      <xdr:spPr>
        <a:xfrm>
          <a:off x="2880360" y="876300"/>
          <a:ext cx="830580" cy="883920"/>
        </a:xfrm>
        <a:prstGeom prst="roundRect">
          <a:avLst>
            <a:gd name="adj" fmla="val 15546"/>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441960</xdr:colOff>
      <xdr:row>4</xdr:row>
      <xdr:rowOff>160020</xdr:rowOff>
    </xdr:from>
    <xdr:to>
      <xdr:col>11</xdr:col>
      <xdr:colOff>76200</xdr:colOff>
      <xdr:row>9</xdr:row>
      <xdr:rowOff>144780</xdr:rowOff>
    </xdr:to>
    <xdr:sp macro="" textlink="">
      <xdr:nvSpPr>
        <xdr:cNvPr id="12" name="Rectangle: Rounded Corners 11">
          <a:extLst>
            <a:ext uri="{FF2B5EF4-FFF2-40B4-BE49-F238E27FC236}">
              <a16:creationId xmlns:a16="http://schemas.microsoft.com/office/drawing/2014/main" id="{97D97092-6C1C-4576-839B-163068ACCC30}"/>
            </a:ext>
          </a:extLst>
        </xdr:cNvPr>
        <xdr:cNvSpPr/>
      </xdr:nvSpPr>
      <xdr:spPr>
        <a:xfrm>
          <a:off x="5928360" y="891540"/>
          <a:ext cx="853440" cy="899160"/>
        </a:xfrm>
        <a:prstGeom prst="roundRect">
          <a:avLst>
            <a:gd name="adj" fmla="val 15546"/>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586740</xdr:colOff>
      <xdr:row>4</xdr:row>
      <xdr:rowOff>152400</xdr:rowOff>
    </xdr:from>
    <xdr:to>
      <xdr:col>16</xdr:col>
      <xdr:colOff>190500</xdr:colOff>
      <xdr:row>9</xdr:row>
      <xdr:rowOff>144780</xdr:rowOff>
    </xdr:to>
    <xdr:sp macro="" textlink="">
      <xdr:nvSpPr>
        <xdr:cNvPr id="13" name="Rectangle: Rounded Corners 12">
          <a:extLst>
            <a:ext uri="{FF2B5EF4-FFF2-40B4-BE49-F238E27FC236}">
              <a16:creationId xmlns:a16="http://schemas.microsoft.com/office/drawing/2014/main" id="{707E9A47-8E71-4673-A898-7DB6B6B8B5C0}"/>
            </a:ext>
          </a:extLst>
        </xdr:cNvPr>
        <xdr:cNvSpPr/>
      </xdr:nvSpPr>
      <xdr:spPr>
        <a:xfrm>
          <a:off x="9121140" y="883920"/>
          <a:ext cx="822960" cy="906780"/>
        </a:xfrm>
        <a:prstGeom prst="roundRect">
          <a:avLst>
            <a:gd name="adj" fmla="val 15546"/>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20</xdr:col>
      <xdr:colOff>76200</xdr:colOff>
      <xdr:row>4</xdr:row>
      <xdr:rowOff>160020</xdr:rowOff>
    </xdr:from>
    <xdr:to>
      <xdr:col>23</xdr:col>
      <xdr:colOff>160020</xdr:colOff>
      <xdr:row>9</xdr:row>
      <xdr:rowOff>175260</xdr:rowOff>
    </xdr:to>
    <mc:AlternateContent xmlns:mc="http://schemas.openxmlformats.org/markup-compatibility/2006" xmlns:a14="http://schemas.microsoft.com/office/drawing/2010/main">
      <mc:Choice Requires="a14">
        <xdr:graphicFrame macro="">
          <xdr:nvGraphicFramePr>
            <xdr:cNvPr id="14" name="Region 1">
              <a:extLst>
                <a:ext uri="{FF2B5EF4-FFF2-40B4-BE49-F238E27FC236}">
                  <a16:creationId xmlns:a16="http://schemas.microsoft.com/office/drawing/2014/main" id="{F30EE06C-FCE3-47C6-956E-983C1B04410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171438" y="885734"/>
              <a:ext cx="1898106" cy="9223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320040</xdr:colOff>
      <xdr:row>5</xdr:row>
      <xdr:rowOff>7620</xdr:rowOff>
    </xdr:from>
    <xdr:to>
      <xdr:col>4</xdr:col>
      <xdr:colOff>274320</xdr:colOff>
      <xdr:row>9</xdr:row>
      <xdr:rowOff>60960</xdr:rowOff>
    </xdr:to>
    <xdr:sp macro="" textlink="">
      <xdr:nvSpPr>
        <xdr:cNvPr id="5122" name="Text Box 2">
          <a:extLst>
            <a:ext uri="{FF2B5EF4-FFF2-40B4-BE49-F238E27FC236}">
              <a16:creationId xmlns:a16="http://schemas.microsoft.com/office/drawing/2014/main" id="{6000B7C0-795E-8834-2866-0915285FB1E1}"/>
            </a:ext>
          </a:extLst>
        </xdr:cNvPr>
        <xdr:cNvSpPr txBox="1">
          <a:spLocks noChangeArrowheads="1"/>
        </xdr:cNvSpPr>
      </xdr:nvSpPr>
      <xdr:spPr bwMode="auto">
        <a:xfrm>
          <a:off x="929640" y="922020"/>
          <a:ext cx="1783080" cy="784860"/>
        </a:xfrm>
        <a:prstGeom prst="rect">
          <a:avLst/>
        </a:prstGeom>
        <a:solidFill>
          <a:schemeClr val="bg1"/>
        </a:solidFill>
        <a:ln w="9525">
          <a:solidFill>
            <a:srgbClr val="000000"/>
          </a:solidFill>
          <a:miter lim="800000"/>
          <a:headEnd/>
          <a:tailEnd/>
        </a:ln>
      </xdr:spPr>
      <xdr:txBody>
        <a:bodyPr vertOverflow="clip" wrap="square" lIns="36576" tIns="32004" rIns="0" bIns="0" anchor="t" upright="1"/>
        <a:lstStyle/>
        <a:p>
          <a:pPr rtl="0"/>
          <a:r>
            <a:rPr lang="en-IN" sz="1800" b="0" i="0" baseline="0">
              <a:effectLst/>
              <a:latin typeface="Times New Roman" panose="02020603050405020304" pitchFamily="18" charset="0"/>
              <a:ea typeface="+mn-ea"/>
              <a:cs typeface="Times New Roman" panose="02020603050405020304" pitchFamily="18" charset="0"/>
            </a:rPr>
            <a:t> TOTAL SALES</a:t>
          </a:r>
          <a:endParaRPr lang="en-IN" sz="1800">
            <a:effectLst/>
            <a:latin typeface="Times New Roman" panose="02020603050405020304" pitchFamily="18" charset="0"/>
            <a:cs typeface="Times New Roman" panose="02020603050405020304" pitchFamily="18" charset="0"/>
          </a:endParaRPr>
        </a:p>
        <a:p>
          <a:pPr rtl="0"/>
          <a:r>
            <a:rPr lang="en-IN" sz="1800" b="0" i="0" baseline="0">
              <a:effectLst/>
              <a:latin typeface="Times New Roman" panose="02020603050405020304" pitchFamily="18" charset="0"/>
              <a:ea typeface="+mn-ea"/>
              <a:cs typeface="Times New Roman" panose="02020603050405020304" pitchFamily="18" charset="0"/>
            </a:rPr>
            <a:t>     8,5,8078</a:t>
          </a:r>
          <a:endParaRPr lang="en-IN" sz="1800">
            <a:effectLst/>
            <a:latin typeface="Times New Roman" panose="02020603050405020304" pitchFamily="18" charset="0"/>
            <a:cs typeface="Times New Roman" panose="02020603050405020304" pitchFamily="18" charset="0"/>
          </a:endParaRPr>
        </a:p>
        <a:p>
          <a:pPr algn="l" rtl="0">
            <a:defRPr sz="1000"/>
          </a:pPr>
          <a:endParaRPr lang="en-IN" sz="2000" b="0" i="0" u="none" strike="noStrike" baseline="0">
            <a:solidFill>
              <a:srgbClr val="000000"/>
            </a:solidFill>
            <a:latin typeface="+mn-lt"/>
            <a:ea typeface="Calibri"/>
            <a:cs typeface="Calibri"/>
          </a:endParaRPr>
        </a:p>
      </xdr:txBody>
    </xdr:sp>
    <xdr:clientData/>
  </xdr:twoCellAnchor>
  <xdr:twoCellAnchor>
    <xdr:from>
      <xdr:col>6</xdr:col>
      <xdr:colOff>137160</xdr:colOff>
      <xdr:row>5</xdr:row>
      <xdr:rowOff>53340</xdr:rowOff>
    </xdr:from>
    <xdr:to>
      <xdr:col>9</xdr:col>
      <xdr:colOff>243840</xdr:colOff>
      <xdr:row>9</xdr:row>
      <xdr:rowOff>68580</xdr:rowOff>
    </xdr:to>
    <xdr:sp macro="" textlink="">
      <xdr:nvSpPr>
        <xdr:cNvPr id="5123" name="Text Box 3">
          <a:extLst>
            <a:ext uri="{FF2B5EF4-FFF2-40B4-BE49-F238E27FC236}">
              <a16:creationId xmlns:a16="http://schemas.microsoft.com/office/drawing/2014/main" id="{EFD0109A-BC7C-5232-3207-62146D5E29CE}"/>
            </a:ext>
          </a:extLst>
        </xdr:cNvPr>
        <xdr:cNvSpPr txBox="1">
          <a:spLocks noChangeArrowheads="1"/>
        </xdr:cNvSpPr>
      </xdr:nvSpPr>
      <xdr:spPr bwMode="auto">
        <a:xfrm>
          <a:off x="3794760" y="967740"/>
          <a:ext cx="1935480" cy="74676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800" b="0" i="0" u="none" strike="noStrike" baseline="0">
              <a:solidFill>
                <a:srgbClr val="000000"/>
              </a:solidFill>
              <a:latin typeface="Times New Roman" panose="02020603050405020304" pitchFamily="18" charset="0"/>
              <a:ea typeface="Calibri"/>
              <a:cs typeface="Times New Roman" panose="02020603050405020304" pitchFamily="18" charset="0"/>
            </a:rPr>
            <a:t>      UNIT SOLD</a:t>
          </a:r>
        </a:p>
        <a:p>
          <a:pPr algn="l" rtl="0">
            <a:defRPr sz="1000"/>
          </a:pPr>
          <a:r>
            <a:rPr lang="en-IN" sz="1800" b="0" i="0" u="none" strike="noStrike" baseline="0">
              <a:solidFill>
                <a:srgbClr val="000000"/>
              </a:solidFill>
              <a:latin typeface="Times New Roman" panose="02020603050405020304" pitchFamily="18" charset="0"/>
              <a:ea typeface="Calibri"/>
              <a:cs typeface="Times New Roman" panose="02020603050405020304" pitchFamily="18" charset="0"/>
            </a:rPr>
            <a:t>            7982</a:t>
          </a:r>
        </a:p>
      </xdr:txBody>
    </xdr:sp>
    <xdr:clientData/>
  </xdr:twoCellAnchor>
  <xdr:twoCellAnchor>
    <xdr:from>
      <xdr:col>11</xdr:col>
      <xdr:colOff>129540</xdr:colOff>
      <xdr:row>5</xdr:row>
      <xdr:rowOff>45720</xdr:rowOff>
    </xdr:from>
    <xdr:to>
      <xdr:col>14</xdr:col>
      <xdr:colOff>426720</xdr:colOff>
      <xdr:row>9</xdr:row>
      <xdr:rowOff>91440</xdr:rowOff>
    </xdr:to>
    <xdr:sp macro="" textlink="">
      <xdr:nvSpPr>
        <xdr:cNvPr id="5125" name="Text Box 5">
          <a:extLst>
            <a:ext uri="{FF2B5EF4-FFF2-40B4-BE49-F238E27FC236}">
              <a16:creationId xmlns:a16="http://schemas.microsoft.com/office/drawing/2014/main" id="{640835AA-3E47-0036-FB26-EABCBB9EF700}"/>
            </a:ext>
          </a:extLst>
        </xdr:cNvPr>
        <xdr:cNvSpPr txBox="1">
          <a:spLocks noChangeArrowheads="1"/>
        </xdr:cNvSpPr>
      </xdr:nvSpPr>
      <xdr:spPr bwMode="auto">
        <a:xfrm>
          <a:off x="6835140" y="960120"/>
          <a:ext cx="2125980" cy="77724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800" b="0" i="0" u="none" strike="noStrike" baseline="0">
              <a:solidFill>
                <a:srgbClr val="000000"/>
              </a:solidFill>
              <a:latin typeface="Times New Roman" panose="02020603050405020304" pitchFamily="18" charset="0"/>
              <a:ea typeface="Calibri"/>
              <a:cs typeface="Times New Roman" panose="02020603050405020304" pitchFamily="18" charset="0"/>
            </a:rPr>
            <a:t>          PROFIT </a:t>
          </a:r>
        </a:p>
        <a:p>
          <a:pPr algn="l" rtl="0">
            <a:defRPr sz="1000"/>
          </a:pPr>
          <a:r>
            <a:rPr lang="en-IN" sz="1800" b="0" i="0" u="none" strike="noStrike" baseline="0">
              <a:solidFill>
                <a:srgbClr val="000000"/>
              </a:solidFill>
              <a:latin typeface="Times New Roman" panose="02020603050405020304" pitchFamily="18" charset="0"/>
              <a:ea typeface="Calibri"/>
              <a:cs typeface="Times New Roman" panose="02020603050405020304" pitchFamily="18" charset="0"/>
            </a:rPr>
            <a:t>         85,69,275</a:t>
          </a:r>
        </a:p>
      </xdr:txBody>
    </xdr:sp>
    <xdr:clientData/>
  </xdr:twoCellAnchor>
  <xdr:twoCellAnchor>
    <xdr:from>
      <xdr:col>16</xdr:col>
      <xdr:colOff>281940</xdr:colOff>
      <xdr:row>5</xdr:row>
      <xdr:rowOff>60960</xdr:rowOff>
    </xdr:from>
    <xdr:to>
      <xdr:col>19</xdr:col>
      <xdr:colOff>502920</xdr:colOff>
      <xdr:row>9</xdr:row>
      <xdr:rowOff>60960</xdr:rowOff>
    </xdr:to>
    <xdr:sp macro="" textlink="">
      <xdr:nvSpPr>
        <xdr:cNvPr id="5126" name="Text Box 6">
          <a:extLst>
            <a:ext uri="{FF2B5EF4-FFF2-40B4-BE49-F238E27FC236}">
              <a16:creationId xmlns:a16="http://schemas.microsoft.com/office/drawing/2014/main" id="{19C33B47-D3DD-0E2E-9459-3B43C40B9F70}"/>
            </a:ext>
          </a:extLst>
        </xdr:cNvPr>
        <xdr:cNvSpPr txBox="1">
          <a:spLocks noChangeArrowheads="1"/>
        </xdr:cNvSpPr>
      </xdr:nvSpPr>
      <xdr:spPr bwMode="auto">
        <a:xfrm>
          <a:off x="10035540" y="975360"/>
          <a:ext cx="2049780" cy="73152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800" b="0" i="0" u="none" strike="noStrike" baseline="0">
              <a:solidFill>
                <a:srgbClr val="000000"/>
              </a:solidFill>
              <a:latin typeface="Times New Roman" panose="02020603050405020304" pitchFamily="18" charset="0"/>
              <a:ea typeface="Calibri"/>
              <a:cs typeface="Times New Roman" panose="02020603050405020304" pitchFamily="18" charset="0"/>
            </a:rPr>
            <a:t>      AVG SALES</a:t>
          </a:r>
        </a:p>
        <a:p>
          <a:pPr algn="l" rtl="0">
            <a:defRPr sz="1000"/>
          </a:pPr>
          <a:r>
            <a:rPr lang="en-IN" sz="1800" b="0" i="0" u="none" strike="noStrike" baseline="0">
              <a:solidFill>
                <a:srgbClr val="000000"/>
              </a:solidFill>
              <a:latin typeface="Times New Roman" panose="02020603050405020304" pitchFamily="18" charset="0"/>
              <a:ea typeface="Calibri"/>
              <a:cs typeface="Times New Roman" panose="02020603050405020304" pitchFamily="18" charset="0"/>
            </a:rPr>
            <a:t>           66006</a:t>
          </a:r>
        </a:p>
      </xdr:txBody>
    </xdr:sp>
    <xdr:clientData/>
  </xdr:twoCellAnchor>
  <xdr:twoCellAnchor editAs="oneCell">
    <xdr:from>
      <xdr:col>0</xdr:col>
      <xdr:colOff>38100</xdr:colOff>
      <xdr:row>5</xdr:row>
      <xdr:rowOff>121920</xdr:rowOff>
    </xdr:from>
    <xdr:to>
      <xdr:col>1</xdr:col>
      <xdr:colOff>124515</xdr:colOff>
      <xdr:row>9</xdr:row>
      <xdr:rowOff>7620</xdr:rowOff>
    </xdr:to>
    <xdr:pic>
      <xdr:nvPicPr>
        <xdr:cNvPr id="20" name="Graphic 19" descr="Dollar with solid fill">
          <a:extLst>
            <a:ext uri="{FF2B5EF4-FFF2-40B4-BE49-F238E27FC236}">
              <a16:creationId xmlns:a16="http://schemas.microsoft.com/office/drawing/2014/main" id="{4C9E8E12-20CC-A727-CA97-C2398EFEAE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100" y="1036320"/>
          <a:ext cx="696015" cy="617220"/>
        </a:xfrm>
        <a:prstGeom prst="rect">
          <a:avLst/>
        </a:prstGeom>
      </xdr:spPr>
    </xdr:pic>
    <xdr:clientData/>
  </xdr:twoCellAnchor>
  <xdr:twoCellAnchor editAs="oneCell">
    <xdr:from>
      <xdr:col>4</xdr:col>
      <xdr:colOff>449580</xdr:colOff>
      <xdr:row>5</xdr:row>
      <xdr:rowOff>60960</xdr:rowOff>
    </xdr:from>
    <xdr:to>
      <xdr:col>6</xdr:col>
      <xdr:colOff>15240</xdr:colOff>
      <xdr:row>9</xdr:row>
      <xdr:rowOff>114300</xdr:rowOff>
    </xdr:to>
    <xdr:pic>
      <xdr:nvPicPr>
        <xdr:cNvPr id="22" name="Graphic 21" descr="Bar graph with upward trend with solid fill">
          <a:extLst>
            <a:ext uri="{FF2B5EF4-FFF2-40B4-BE49-F238E27FC236}">
              <a16:creationId xmlns:a16="http://schemas.microsoft.com/office/drawing/2014/main" id="{51754152-C509-A7D5-8FFB-B778C8466AC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87980" y="975360"/>
          <a:ext cx="784860" cy="784860"/>
        </a:xfrm>
        <a:prstGeom prst="rect">
          <a:avLst/>
        </a:prstGeom>
      </xdr:spPr>
    </xdr:pic>
    <xdr:clientData/>
  </xdr:twoCellAnchor>
  <xdr:twoCellAnchor editAs="oneCell">
    <xdr:from>
      <xdr:col>9</xdr:col>
      <xdr:colOff>487680</xdr:colOff>
      <xdr:row>5</xdr:row>
      <xdr:rowOff>15240</xdr:rowOff>
    </xdr:from>
    <xdr:to>
      <xdr:col>11</xdr:col>
      <xdr:colOff>60960</xdr:colOff>
      <xdr:row>9</xdr:row>
      <xdr:rowOff>76200</xdr:rowOff>
    </xdr:to>
    <xdr:pic>
      <xdr:nvPicPr>
        <xdr:cNvPr id="24" name="Graphic 23" descr="Money with solid fill">
          <a:extLst>
            <a:ext uri="{FF2B5EF4-FFF2-40B4-BE49-F238E27FC236}">
              <a16:creationId xmlns:a16="http://schemas.microsoft.com/office/drawing/2014/main" id="{46BFE94C-071A-C4D3-EC22-C1DCA5235FA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974080" y="929640"/>
          <a:ext cx="792480" cy="792480"/>
        </a:xfrm>
        <a:prstGeom prst="rect">
          <a:avLst/>
        </a:prstGeom>
      </xdr:spPr>
    </xdr:pic>
    <xdr:clientData/>
  </xdr:twoCellAnchor>
  <xdr:twoCellAnchor editAs="oneCell">
    <xdr:from>
      <xdr:col>15</xdr:col>
      <xdr:colOff>7620</xdr:colOff>
      <xdr:row>5</xdr:row>
      <xdr:rowOff>53340</xdr:rowOff>
    </xdr:from>
    <xdr:to>
      <xdr:col>16</xdr:col>
      <xdr:colOff>121920</xdr:colOff>
      <xdr:row>9</xdr:row>
      <xdr:rowOff>45720</xdr:rowOff>
    </xdr:to>
    <xdr:pic>
      <xdr:nvPicPr>
        <xdr:cNvPr id="26" name="Graphic 25" descr="Coins with solid fill">
          <a:extLst>
            <a:ext uri="{FF2B5EF4-FFF2-40B4-BE49-F238E27FC236}">
              <a16:creationId xmlns:a16="http://schemas.microsoft.com/office/drawing/2014/main" id="{60915580-C936-F504-03E1-F96B4321D2B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151620" y="967740"/>
          <a:ext cx="723900" cy="723900"/>
        </a:xfrm>
        <a:prstGeom prst="rect">
          <a:avLst/>
        </a:prstGeom>
      </xdr:spPr>
    </xdr:pic>
    <xdr:clientData/>
  </xdr:twoCellAnchor>
  <xdr:twoCellAnchor editAs="oneCell">
    <xdr:from>
      <xdr:col>0</xdr:col>
      <xdr:colOff>0</xdr:colOff>
      <xdr:row>9</xdr:row>
      <xdr:rowOff>129539</xdr:rowOff>
    </xdr:from>
    <xdr:to>
      <xdr:col>3</xdr:col>
      <xdr:colOff>0</xdr:colOff>
      <xdr:row>20</xdr:row>
      <xdr:rowOff>38100</xdr:rowOff>
    </xdr:to>
    <mc:AlternateContent xmlns:mc="http://schemas.openxmlformats.org/markup-compatibility/2006" xmlns:a14="http://schemas.microsoft.com/office/drawing/2010/main">
      <mc:Choice Requires="a14">
        <xdr:graphicFrame macro="">
          <xdr:nvGraphicFramePr>
            <xdr:cNvPr id="27" name="Products 1">
              <a:extLst>
                <a:ext uri="{FF2B5EF4-FFF2-40B4-BE49-F238E27FC236}">
                  <a16:creationId xmlns:a16="http://schemas.microsoft.com/office/drawing/2014/main" id="{CA8598F1-8E04-4ABF-86C9-B9A8CA364F4A}"/>
                </a:ext>
              </a:extLst>
            </xdr:cNvPr>
            <xdr:cNvGraphicFramePr/>
          </xdr:nvGraphicFramePr>
          <xdr:xfrm>
            <a:off x="0" y="0"/>
            <a:ext cx="0" cy="0"/>
          </xdr:xfrm>
          <a:graphic>
            <a:graphicData uri="http://schemas.microsoft.com/office/drawing/2010/slicer">
              <sle:slicer xmlns:sle="http://schemas.microsoft.com/office/drawing/2010/slicer" name="Products 1"/>
            </a:graphicData>
          </a:graphic>
        </xdr:graphicFrame>
      </mc:Choice>
      <mc:Fallback xmlns="">
        <xdr:sp macro="" textlink="">
          <xdr:nvSpPr>
            <xdr:cNvPr id="0" name=""/>
            <xdr:cNvSpPr>
              <a:spLocks noTextEdit="1"/>
            </xdr:cNvSpPr>
          </xdr:nvSpPr>
          <xdr:spPr>
            <a:xfrm>
              <a:off x="0" y="1762396"/>
              <a:ext cx="1814286" cy="1904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15241</xdr:rowOff>
    </xdr:from>
    <xdr:to>
      <xdr:col>3</xdr:col>
      <xdr:colOff>15240</xdr:colOff>
      <xdr:row>30</xdr:row>
      <xdr:rowOff>72572</xdr:rowOff>
    </xdr:to>
    <mc:AlternateContent xmlns:mc="http://schemas.openxmlformats.org/markup-compatibility/2006" xmlns:a14="http://schemas.microsoft.com/office/drawing/2010/main">
      <mc:Choice Requires="a14">
        <xdr:graphicFrame macro="">
          <xdr:nvGraphicFramePr>
            <xdr:cNvPr id="28" name="Employee 1">
              <a:extLst>
                <a:ext uri="{FF2B5EF4-FFF2-40B4-BE49-F238E27FC236}">
                  <a16:creationId xmlns:a16="http://schemas.microsoft.com/office/drawing/2014/main" id="{352C5D09-48C2-40B4-BD22-9F2509CE1908}"/>
                </a:ext>
              </a:extLst>
            </xdr:cNvPr>
            <xdr:cNvGraphicFramePr/>
          </xdr:nvGraphicFramePr>
          <xdr:xfrm>
            <a:off x="0" y="0"/>
            <a:ext cx="0" cy="0"/>
          </xdr:xfrm>
          <a:graphic>
            <a:graphicData uri="http://schemas.microsoft.com/office/drawing/2010/slicer">
              <sle:slicer xmlns:sle="http://schemas.microsoft.com/office/drawing/2010/slicer" name="Employee 1"/>
            </a:graphicData>
          </a:graphic>
        </xdr:graphicFrame>
      </mc:Choice>
      <mc:Fallback xmlns="">
        <xdr:sp macro="" textlink="">
          <xdr:nvSpPr>
            <xdr:cNvPr id="0" name=""/>
            <xdr:cNvSpPr>
              <a:spLocks noTextEdit="1"/>
            </xdr:cNvSpPr>
          </xdr:nvSpPr>
          <xdr:spPr>
            <a:xfrm>
              <a:off x="0" y="3643812"/>
              <a:ext cx="1829526" cy="18716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198120</xdr:colOff>
      <xdr:row>9</xdr:row>
      <xdr:rowOff>137160</xdr:rowOff>
    </xdr:from>
    <xdr:to>
      <xdr:col>23</xdr:col>
      <xdr:colOff>152400</xdr:colOff>
      <xdr:row>22</xdr:row>
      <xdr:rowOff>53340</xdr:rowOff>
    </xdr:to>
    <xdr:graphicFrame macro="">
      <xdr:nvGraphicFramePr>
        <xdr:cNvPr id="30" name="Chart 29">
          <a:extLst>
            <a:ext uri="{FF2B5EF4-FFF2-40B4-BE49-F238E27FC236}">
              <a16:creationId xmlns:a16="http://schemas.microsoft.com/office/drawing/2014/main" id="{77105AE6-DA86-43F5-AB8A-1A2650444B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22860</xdr:colOff>
      <xdr:row>22</xdr:row>
      <xdr:rowOff>60960</xdr:rowOff>
    </xdr:from>
    <xdr:to>
      <xdr:col>13</xdr:col>
      <xdr:colOff>198120</xdr:colOff>
      <xdr:row>36</xdr:row>
      <xdr:rowOff>144780</xdr:rowOff>
    </xdr:to>
    <xdr:graphicFrame macro="">
      <xdr:nvGraphicFramePr>
        <xdr:cNvPr id="31" name="Chart 30">
          <a:extLst>
            <a:ext uri="{FF2B5EF4-FFF2-40B4-BE49-F238E27FC236}">
              <a16:creationId xmlns:a16="http://schemas.microsoft.com/office/drawing/2014/main" id="{5A1E5C54-8467-4671-88CD-F4F8D48F1A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243840</xdr:colOff>
      <xdr:row>22</xdr:row>
      <xdr:rowOff>45720</xdr:rowOff>
    </xdr:from>
    <xdr:to>
      <xdr:col>23</xdr:col>
      <xdr:colOff>190500</xdr:colOff>
      <xdr:row>36</xdr:row>
      <xdr:rowOff>175260</xdr:rowOff>
    </xdr:to>
    <xdr:graphicFrame macro="">
      <xdr:nvGraphicFramePr>
        <xdr:cNvPr id="32" name="Chart 31">
          <a:extLst>
            <a:ext uri="{FF2B5EF4-FFF2-40B4-BE49-F238E27FC236}">
              <a16:creationId xmlns:a16="http://schemas.microsoft.com/office/drawing/2014/main" id="{46541B34-B24F-49A2-8564-10D12FB50F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540775</xdr:colOff>
      <xdr:row>9</xdr:row>
      <xdr:rowOff>172064</xdr:rowOff>
    </xdr:from>
    <xdr:to>
      <xdr:col>13</xdr:col>
      <xdr:colOff>188451</xdr:colOff>
      <xdr:row>22</xdr:row>
      <xdr:rowOff>49162</xdr:rowOff>
    </xdr:to>
    <xdr:graphicFrame macro="">
      <xdr:nvGraphicFramePr>
        <xdr:cNvPr id="2" name="Chart 1">
          <a:extLst>
            <a:ext uri="{FF2B5EF4-FFF2-40B4-BE49-F238E27FC236}">
              <a16:creationId xmlns:a16="http://schemas.microsoft.com/office/drawing/2014/main" id="{3E80BFE2-494F-43C0-B096-9EA2E12821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01.764031944447" createdVersion="8" refreshedVersion="8" minRefreshableVersion="3" recordCount="52" xr:uid="{792AA5FB-C7B5-483B-84CA-D0D951EDACC7}">
  <cacheSource type="worksheet">
    <worksheetSource name="Table1"/>
  </cacheSource>
  <cacheFields count="9">
    <cacheField name="    Date" numFmtId="14">
      <sharedItems containsNonDate="0" containsDate="1" containsString="0" containsBlank="1" minDate="2026-01-01T00:00:00" maxDate="2026-02-21T00:00:00"/>
    </cacheField>
    <cacheField name="Employee" numFmtId="0">
      <sharedItems containsBlank="1" count="5">
        <s v="Arun"/>
        <s v="Bala"/>
        <s v="Chitra"/>
        <s v="Deepak"/>
        <m/>
      </sharedItems>
    </cacheField>
    <cacheField name="Products" numFmtId="0">
      <sharedItems containsBlank="1" count="11">
        <s v="fan"/>
        <s v="table"/>
        <s v="light "/>
        <s v="shoes "/>
        <s v="fridge"/>
        <s v="mixie  "/>
        <s v="grinder"/>
        <s v="tv"/>
        <s v="oven"/>
        <s v="tent"/>
        <m/>
      </sharedItems>
    </cacheField>
    <cacheField name="Unit Sold" numFmtId="0">
      <sharedItems containsString="0" containsBlank="1" containsNumber="1" containsInteger="1" minValue="12" maxValue="785"/>
    </cacheField>
    <cacheField name="Unit Price" numFmtId="0">
      <sharedItems containsBlank="1"/>
    </cacheField>
    <cacheField name="COG" numFmtId="3">
      <sharedItems containsString="0" containsBlank="1" containsNumber="1" containsInteger="1" minValue="100" maxValue="15014"/>
    </cacheField>
    <cacheField name="Total Sales" numFmtId="0">
      <sharedItems containsBlank="1" containsMixedTypes="1" containsNumber="1" containsInteger="1" minValue="66000" maxValue="66012" count="52">
        <s v="5,04,00"/>
        <s v="5,04,01"/>
        <s v="5,04,02"/>
        <s v="5,04,03"/>
        <s v="5,04,04"/>
        <s v="5,04,05"/>
        <s v="5,04,06"/>
        <s v="5,04,07"/>
        <s v="5,04,08"/>
        <s v="5,04,09"/>
        <s v="5,04,10"/>
        <s v="5,04,11"/>
        <s v="5,04,12"/>
        <s v="5,04,13"/>
        <s v="5,04,14"/>
        <s v="5,04,15"/>
        <s v="3,12,00"/>
        <s v="3,12,01"/>
        <s v="3,12,02"/>
        <s v="3,12,03"/>
        <s v="3,12,04"/>
        <s v="3,12,05"/>
        <s v="3,12,06"/>
        <s v="3,12,07"/>
        <s v="3,12,08"/>
        <s v="3,12,09"/>
        <s v="3,12,10"/>
        <n v="66000"/>
        <n v="66001"/>
        <n v="66002"/>
        <n v="66003"/>
        <n v="66004"/>
        <n v="66005"/>
        <n v="66006"/>
        <n v="66007"/>
        <n v="66008"/>
        <n v="66009"/>
        <n v="66010"/>
        <n v="66011"/>
        <n v="66012"/>
        <s v="5,0,000"/>
        <s v="5,0,001"/>
        <s v="5,0,002"/>
        <s v="5,0,003"/>
        <s v="5,0,004"/>
        <s v="5,0,005"/>
        <s v="5,0,006"/>
        <s v="5,0,007"/>
        <s v="5,0,008"/>
        <s v="5,0,009"/>
        <s v="5,0,010"/>
        <m/>
      </sharedItems>
    </cacheField>
    <cacheField name="Profit" numFmtId="3">
      <sharedItems containsString="0" containsBlank="1" containsNumber="1" containsInteger="1" minValue="168000" maxValue="168050"/>
    </cacheField>
    <cacheField name="Region" numFmtId="0">
      <sharedItems containsBlank="1" count="5">
        <s v="East"/>
        <s v="west"/>
        <s v="north"/>
        <s v="south"/>
        <m/>
      </sharedItems>
    </cacheField>
  </cacheFields>
  <extLst>
    <ext xmlns:x14="http://schemas.microsoft.com/office/spreadsheetml/2009/9/main" uri="{725AE2AE-9491-48be-B2B4-4EB974FC3084}">
      <x14:pivotCacheDefinition pivotCacheId="360035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d v="2026-01-01T00:00:00"/>
    <x v="0"/>
    <x v="0"/>
    <n v="84"/>
    <s v="Rs.6500"/>
    <n v="4000"/>
    <x v="0"/>
    <n v="168000"/>
    <x v="0"/>
  </r>
  <r>
    <d v="2026-01-02T00:00:00"/>
    <x v="1"/>
    <x v="1"/>
    <n v="128"/>
    <s v="Rs.6501"/>
    <n v="4001"/>
    <x v="1"/>
    <n v="168001"/>
    <x v="1"/>
  </r>
  <r>
    <d v="2026-01-03T00:00:00"/>
    <x v="2"/>
    <x v="2"/>
    <n v="136"/>
    <s v="Rs.6502"/>
    <n v="4002"/>
    <x v="2"/>
    <n v="168002"/>
    <x v="2"/>
  </r>
  <r>
    <d v="2026-01-04T00:00:00"/>
    <x v="3"/>
    <x v="3"/>
    <n v="91"/>
    <s v="Rs.6503"/>
    <n v="4003"/>
    <x v="3"/>
    <n v="168003"/>
    <x v="3"/>
  </r>
  <r>
    <d v="2026-01-05T00:00:00"/>
    <x v="0"/>
    <x v="4"/>
    <n v="110"/>
    <s v="Rs.6504"/>
    <n v="4004"/>
    <x v="4"/>
    <n v="168004"/>
    <x v="0"/>
  </r>
  <r>
    <d v="2026-01-06T00:00:00"/>
    <x v="1"/>
    <x v="5"/>
    <n v="51"/>
    <s v="Rs.6505"/>
    <n v="4005"/>
    <x v="5"/>
    <n v="168005"/>
    <x v="1"/>
  </r>
  <r>
    <d v="2026-01-07T00:00:00"/>
    <x v="2"/>
    <x v="6"/>
    <n v="78"/>
    <s v="Rs.6506"/>
    <n v="4006"/>
    <x v="6"/>
    <n v="168006"/>
    <x v="2"/>
  </r>
  <r>
    <d v="2026-01-08T00:00:00"/>
    <x v="3"/>
    <x v="7"/>
    <n v="146"/>
    <s v="Rs.6507"/>
    <n v="4007"/>
    <x v="7"/>
    <n v="168007"/>
    <x v="3"/>
  </r>
  <r>
    <d v="2026-01-09T00:00:00"/>
    <x v="0"/>
    <x v="8"/>
    <n v="25"/>
    <s v="Rs.7500"/>
    <n v="4008"/>
    <x v="8"/>
    <n v="168008"/>
    <x v="0"/>
  </r>
  <r>
    <d v="2026-01-10T00:00:00"/>
    <x v="1"/>
    <x v="9"/>
    <n v="52"/>
    <s v="Rs.7501"/>
    <n v="4009"/>
    <x v="9"/>
    <n v="168009"/>
    <x v="1"/>
  </r>
  <r>
    <d v="2026-01-11T00:00:00"/>
    <x v="2"/>
    <x v="0"/>
    <n v="76"/>
    <s v="Rs.7502"/>
    <n v="4010"/>
    <x v="10"/>
    <n v="168010"/>
    <x v="2"/>
  </r>
  <r>
    <d v="2026-01-12T00:00:00"/>
    <x v="3"/>
    <x v="1"/>
    <n v="144"/>
    <s v="Rs.7503"/>
    <n v="4011"/>
    <x v="11"/>
    <n v="168011"/>
    <x v="3"/>
  </r>
  <r>
    <d v="2026-01-13T00:00:00"/>
    <x v="0"/>
    <x v="2"/>
    <n v="12"/>
    <s v="Rs.7504"/>
    <n v="4012"/>
    <x v="12"/>
    <n v="168012"/>
    <x v="0"/>
  </r>
  <r>
    <d v="2026-01-14T00:00:00"/>
    <x v="1"/>
    <x v="3"/>
    <n v="125"/>
    <s v="Rs.7505"/>
    <n v="100"/>
    <x v="13"/>
    <n v="168013"/>
    <x v="1"/>
  </r>
  <r>
    <d v="2026-01-15T00:00:00"/>
    <x v="2"/>
    <x v="4"/>
    <n v="325"/>
    <s v="Rs.7506"/>
    <n v="101"/>
    <x v="14"/>
    <n v="168014"/>
    <x v="2"/>
  </r>
  <r>
    <d v="2026-01-16T00:00:00"/>
    <x v="3"/>
    <x v="5"/>
    <n v="652"/>
    <s v="Rs.7507"/>
    <n v="102"/>
    <x v="15"/>
    <n v="168015"/>
    <x v="3"/>
  </r>
  <r>
    <d v="2026-01-17T00:00:00"/>
    <x v="0"/>
    <x v="6"/>
    <n v="114"/>
    <s v="Rs.7508"/>
    <n v="103"/>
    <x v="16"/>
    <n v="168016"/>
    <x v="0"/>
  </r>
  <r>
    <d v="2026-01-18T00:00:00"/>
    <x v="1"/>
    <x v="7"/>
    <n v="258"/>
    <s v="Rs.7509"/>
    <n v="104"/>
    <x v="17"/>
    <n v="168017"/>
    <x v="1"/>
  </r>
  <r>
    <d v="2026-01-19T00:00:00"/>
    <x v="2"/>
    <x v="8"/>
    <n v="147"/>
    <s v="Rs.7510"/>
    <n v="105"/>
    <x v="18"/>
    <n v="168018"/>
    <x v="2"/>
  </r>
  <r>
    <d v="2026-01-20T00:00:00"/>
    <x v="3"/>
    <x v="9"/>
    <n v="369"/>
    <s v="Rs.8500"/>
    <n v="106"/>
    <x v="19"/>
    <n v="168019"/>
    <x v="3"/>
  </r>
  <r>
    <d v="2026-01-21T00:00:00"/>
    <x v="0"/>
    <x v="0"/>
    <n v="785"/>
    <s v="Rs.8501"/>
    <n v="107"/>
    <x v="20"/>
    <n v="168020"/>
    <x v="0"/>
  </r>
  <r>
    <d v="2026-01-22T00:00:00"/>
    <x v="1"/>
    <x v="1"/>
    <n v="658"/>
    <s v="Rs.8502"/>
    <n v="108"/>
    <x v="21"/>
    <n v="168021"/>
    <x v="1"/>
  </r>
  <r>
    <d v="2026-01-23T00:00:00"/>
    <x v="2"/>
    <x v="2"/>
    <n v="452"/>
    <s v="Rs.8503"/>
    <n v="109"/>
    <x v="22"/>
    <n v="168022"/>
    <x v="2"/>
  </r>
  <r>
    <d v="2026-01-24T00:00:00"/>
    <x v="3"/>
    <x v="3"/>
    <n v="145"/>
    <s v="Rs.8504"/>
    <n v="110"/>
    <x v="23"/>
    <n v="168023"/>
    <x v="3"/>
  </r>
  <r>
    <d v="2026-01-25T00:00:00"/>
    <x v="0"/>
    <x v="4"/>
    <n v="66"/>
    <s v="Rs.8505"/>
    <n v="15000"/>
    <x v="24"/>
    <n v="168024"/>
    <x v="0"/>
  </r>
  <r>
    <d v="2026-01-26T00:00:00"/>
    <x v="1"/>
    <x v="5"/>
    <n v="564"/>
    <s v="Rs.8506"/>
    <n v="15001"/>
    <x v="25"/>
    <n v="168025"/>
    <x v="1"/>
  </r>
  <r>
    <d v="2026-01-27T00:00:00"/>
    <x v="2"/>
    <x v="6"/>
    <n v="225"/>
    <s v="Rs.8507"/>
    <n v="15002"/>
    <x v="26"/>
    <n v="168026"/>
    <x v="2"/>
  </r>
  <r>
    <d v="2026-01-28T00:00:00"/>
    <x v="3"/>
    <x v="7"/>
    <n v="33"/>
    <s v="Rs.8508"/>
    <n v="15003"/>
    <x v="27"/>
    <n v="168027"/>
    <x v="3"/>
  </r>
  <r>
    <d v="2026-01-29T00:00:00"/>
    <x v="0"/>
    <x v="8"/>
    <n v="65"/>
    <s v="Rs.8509"/>
    <n v="15004"/>
    <x v="28"/>
    <n v="168028"/>
    <x v="0"/>
  </r>
  <r>
    <d v="2026-01-30T00:00:00"/>
    <x v="1"/>
    <x v="9"/>
    <n v="98"/>
    <s v="Rs.4500"/>
    <n v="15005"/>
    <x v="29"/>
    <n v="168029"/>
    <x v="1"/>
  </r>
  <r>
    <d v="2026-01-31T00:00:00"/>
    <x v="2"/>
    <x v="0"/>
    <n v="77"/>
    <s v="Rs.4501"/>
    <n v="15006"/>
    <x v="30"/>
    <n v="168030"/>
    <x v="2"/>
  </r>
  <r>
    <d v="2026-02-01T00:00:00"/>
    <x v="3"/>
    <x v="1"/>
    <n v="85"/>
    <s v="Rs.4502"/>
    <n v="15007"/>
    <x v="31"/>
    <n v="168031"/>
    <x v="3"/>
  </r>
  <r>
    <d v="2026-02-02T00:00:00"/>
    <x v="0"/>
    <x v="2"/>
    <n v="96"/>
    <s v="Rs.4503"/>
    <n v="15008"/>
    <x v="32"/>
    <n v="168032"/>
    <x v="0"/>
  </r>
  <r>
    <d v="2026-02-03T00:00:00"/>
    <x v="1"/>
    <x v="3"/>
    <n v="25"/>
    <s v="Rs.4504"/>
    <n v="15009"/>
    <x v="33"/>
    <n v="168033"/>
    <x v="1"/>
  </r>
  <r>
    <d v="2026-02-04T00:00:00"/>
    <x v="2"/>
    <x v="4"/>
    <n v="66"/>
    <s v="Rs.4505"/>
    <n v="15010"/>
    <x v="34"/>
    <n v="168034"/>
    <x v="2"/>
  </r>
  <r>
    <d v="2026-02-05T00:00:00"/>
    <x v="3"/>
    <x v="5"/>
    <n v="457"/>
    <s v="Rs.4506"/>
    <n v="15011"/>
    <x v="35"/>
    <n v="168035"/>
    <x v="3"/>
  </r>
  <r>
    <d v="2026-02-06T00:00:00"/>
    <x v="0"/>
    <x v="6"/>
    <n v="22"/>
    <s v="Rs.4507"/>
    <n v="15012"/>
    <x v="36"/>
    <n v="168036"/>
    <x v="0"/>
  </r>
  <r>
    <d v="2026-02-07T00:00:00"/>
    <x v="1"/>
    <x v="7"/>
    <n v="32"/>
    <s v="Rs.4508"/>
    <n v="15013"/>
    <x v="37"/>
    <n v="168037"/>
    <x v="1"/>
  </r>
  <r>
    <d v="2026-02-08T00:00:00"/>
    <x v="2"/>
    <x v="8"/>
    <n v="69"/>
    <s v="Rs.4509"/>
    <n v="15014"/>
    <x v="38"/>
    <n v="168038"/>
    <x v="2"/>
  </r>
  <r>
    <d v="2026-02-09T00:00:00"/>
    <x v="3"/>
    <x v="9"/>
    <n v="76"/>
    <s v="Rs.8500"/>
    <n v="4000"/>
    <x v="39"/>
    <n v="168039"/>
    <x v="3"/>
  </r>
  <r>
    <d v="2026-02-10T00:00:00"/>
    <x v="0"/>
    <x v="0"/>
    <n v="54"/>
    <s v="Rs.8501"/>
    <n v="4001"/>
    <x v="40"/>
    <n v="168040"/>
    <x v="0"/>
  </r>
  <r>
    <d v="2026-02-11T00:00:00"/>
    <x v="1"/>
    <x v="1"/>
    <n v="85"/>
    <s v="Rs.8502"/>
    <n v="4002"/>
    <x v="41"/>
    <n v="168041"/>
    <x v="1"/>
  </r>
  <r>
    <d v="2026-02-12T00:00:00"/>
    <x v="2"/>
    <x v="2"/>
    <n v="96"/>
    <s v="Rs.8503"/>
    <n v="4003"/>
    <x v="42"/>
    <n v="168042"/>
    <x v="2"/>
  </r>
  <r>
    <d v="2026-02-13T00:00:00"/>
    <x v="3"/>
    <x v="3"/>
    <n v="32"/>
    <s v="Rs.8504"/>
    <n v="4004"/>
    <x v="43"/>
    <n v="168043"/>
    <x v="3"/>
  </r>
  <r>
    <d v="2026-02-14T00:00:00"/>
    <x v="0"/>
    <x v="4"/>
    <n v="44"/>
    <s v="Rs.8505"/>
    <n v="4005"/>
    <x v="44"/>
    <n v="168044"/>
    <x v="0"/>
  </r>
  <r>
    <d v="2026-02-15T00:00:00"/>
    <x v="1"/>
    <x v="5"/>
    <n v="56"/>
    <s v="Rs.8506"/>
    <n v="4006"/>
    <x v="45"/>
    <n v="168045"/>
    <x v="1"/>
  </r>
  <r>
    <d v="2026-02-16T00:00:00"/>
    <x v="2"/>
    <x v="6"/>
    <n v="97"/>
    <s v="Rs.8507"/>
    <n v="4007"/>
    <x v="46"/>
    <n v="168046"/>
    <x v="2"/>
  </r>
  <r>
    <d v="2026-02-17T00:00:00"/>
    <x v="3"/>
    <x v="7"/>
    <n v="85"/>
    <s v="Rs.8508"/>
    <n v="4008"/>
    <x v="47"/>
    <n v="168047"/>
    <x v="3"/>
  </r>
  <r>
    <d v="2026-02-18T00:00:00"/>
    <x v="0"/>
    <x v="8"/>
    <n v="62"/>
    <s v="Rs.8509"/>
    <n v="4009"/>
    <x v="48"/>
    <n v="168048"/>
    <x v="0"/>
  </r>
  <r>
    <d v="2026-02-19T00:00:00"/>
    <x v="1"/>
    <x v="9"/>
    <n v="56"/>
    <s v="Rs.8510"/>
    <n v="4010"/>
    <x v="49"/>
    <n v="168049"/>
    <x v="1"/>
  </r>
  <r>
    <d v="2026-02-20T00:00:00"/>
    <x v="2"/>
    <x v="7"/>
    <n v="96"/>
    <s v="Rs.8511"/>
    <n v="4011"/>
    <x v="50"/>
    <n v="168050"/>
    <x v="2"/>
  </r>
  <r>
    <m/>
    <x v="4"/>
    <x v="10"/>
    <m/>
    <m/>
    <m/>
    <x v="51"/>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38DC1F-6E84-4E4A-85B7-57953F4E25EF}"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7:B23" firstHeaderRow="1" firstDataRow="1" firstDataCol="1"/>
  <pivotFields count="9">
    <pivotField showAll="0"/>
    <pivotField axis="axisRow" showAll="0">
      <items count="6">
        <item x="0"/>
        <item x="1"/>
        <item x="2"/>
        <item x="3"/>
        <item x="4"/>
        <item t="default"/>
      </items>
    </pivotField>
    <pivotField showAll="0"/>
    <pivotField showAll="0"/>
    <pivotField showAll="0"/>
    <pivotField showAll="0"/>
    <pivotField dataField="1" showAll="0"/>
    <pivotField showAll="0"/>
    <pivotField showAll="0"/>
  </pivotFields>
  <rowFields count="1">
    <field x="1"/>
  </rowFields>
  <rowItems count="6">
    <i>
      <x/>
    </i>
    <i>
      <x v="1"/>
    </i>
    <i>
      <x v="2"/>
    </i>
    <i>
      <x v="3"/>
    </i>
    <i>
      <x v="4"/>
    </i>
    <i t="grand">
      <x/>
    </i>
  </rowItems>
  <colItems count="1">
    <i/>
  </colItems>
  <dataFields count="1">
    <dataField name="Count of Total Sales" fld="6" subtotal="count" baseField="0" baseItem="0"/>
  </dataFields>
  <formats count="2">
    <format dxfId="1">
      <pivotArea field="1" type="button" dataOnly="0" labelOnly="1" outline="0" axis="axisRow" fieldPosition="0"/>
    </format>
    <format dxfId="0">
      <pivotArea dataOnly="0" labelOnly="1" outline="0" axis="axisValues" fieldPosition="0"/>
    </format>
  </format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AC12BD-2763-41CA-BEEF-367E6E6B9B71}"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5" firstHeaderRow="1" firstDataRow="1" firstDataCol="1"/>
  <pivotFields count="9">
    <pivotField showAll="0"/>
    <pivotField showAll="0"/>
    <pivotField axis="axisRow" showAll="0">
      <items count="12">
        <item x="0"/>
        <item x="4"/>
        <item x="6"/>
        <item x="2"/>
        <item x="5"/>
        <item x="8"/>
        <item x="3"/>
        <item x="1"/>
        <item x="9"/>
        <item x="7"/>
        <item x="10"/>
        <item t="default"/>
      </items>
    </pivotField>
    <pivotField showAll="0"/>
    <pivotField showAll="0"/>
    <pivotField showAll="0"/>
    <pivotField dataField="1" showAll="0"/>
    <pivotField showAll="0"/>
    <pivotField showAll="0"/>
  </pivotFields>
  <rowFields count="1">
    <field x="2"/>
  </rowFields>
  <rowItems count="12">
    <i>
      <x/>
    </i>
    <i>
      <x v="1"/>
    </i>
    <i>
      <x v="2"/>
    </i>
    <i>
      <x v="3"/>
    </i>
    <i>
      <x v="4"/>
    </i>
    <i>
      <x v="5"/>
    </i>
    <i>
      <x v="6"/>
    </i>
    <i>
      <x v="7"/>
    </i>
    <i>
      <x v="8"/>
    </i>
    <i>
      <x v="9"/>
    </i>
    <i>
      <x v="10"/>
    </i>
    <i t="grand">
      <x/>
    </i>
  </rowItems>
  <colItems count="1">
    <i/>
  </colItems>
  <dataFields count="1">
    <dataField name="Count of Total Sales" fld="6" subtotal="count" baseField="0" baseItem="0"/>
  </dataFields>
  <formats count="2">
    <format dxfId="3">
      <pivotArea field="2" type="button" dataOnly="0" labelOnly="1" outline="0" axis="axisRow" fieldPosition="0"/>
    </format>
    <format dxfId="2">
      <pivotArea dataOnly="0" labelOnly="1" outline="0" axis="axisValues" fieldPosition="0"/>
    </format>
  </format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 xr10:uid="{47435E87-4D7D-44C7-B933-6A1F4D8EC6F1}" sourceName="Employee">
  <data>
    <tabular pivotCacheId="360035553">
      <items count="5">
        <i x="0"/>
        <i x="1" s="1"/>
        <i x="2"/>
        <i x="3"/>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39E129C6-B09D-406B-9B4A-278B10C22D2F}" sourceName="Products">
  <data>
    <tabular pivotCacheId="360035553">
      <items count="11">
        <i x="0"/>
        <i x="4"/>
        <i x="6"/>
        <i x="2"/>
        <i x="5"/>
        <i x="8"/>
        <i x="3" s="1"/>
        <i x="1"/>
        <i x="9"/>
        <i x="7"/>
        <i x="1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005CEC7-E05B-41F4-BA3B-E3F0DCC3C0B4}" sourceName="Region">
  <data>
    <tabular pivotCacheId="360035553">
      <items count="5">
        <i x="0" s="1"/>
        <i x="2"/>
        <i x="3"/>
        <i x="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xr10:uid="{0CEFADAF-0FD0-4578-B558-20D81512A645}" cache="Slicer_Employee" caption="Employee" rowHeight="234950"/>
  <slicer name="Products" xr10:uid="{C991F7C6-08D5-4D67-990E-2378E197EC09}" cache="Slicer_Products" caption="Products" rowHeight="234950"/>
  <slicer name="Region" xr10:uid="{BE6C65D7-93A5-43D6-BA26-FCA8C0C42045}" cache="Slicer_Region" caption="Region" columnCount="2" style="SlicerStyleDark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1" xr10:uid="{CA82CA5E-FAED-4D90-8B39-5FB8316C2951}" cache="Slicer_Employee" caption="Employee" rowHeight="234950"/>
  <slicer name="Products 1" xr10:uid="{4FC6D726-5669-487E-B6CA-C0A7A6310DEF}" cache="Slicer_Products" caption="Products" startItem="5" rowHeight="234950"/>
  <slicer name="Region 1" xr10:uid="{ADB42881-9C86-4811-8C19-DAD6AC93BAB1}" cache="Slicer_Region" caption="Region" columnCount="2"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0A1508-58A3-439D-95A1-FA3C34070F24}" name="Table1" displayName="Table1" ref="A1:I53" totalsRowShown="0" headerRowDxfId="7">
  <autoFilter ref="A1:I53" xr:uid="{2C0A1508-58A3-439D-95A1-FA3C34070F24}"/>
  <tableColumns count="9">
    <tableColumn id="1" xr3:uid="{91EDD037-84E5-4272-AA4B-BE278BAB4EE4}" name="    Date" dataDxfId="6"/>
    <tableColumn id="2" xr3:uid="{EAFC823E-F6E4-4435-AEA1-029CB512F8A3}" name="Employee"/>
    <tableColumn id="3" xr3:uid="{F4237040-FCBC-4A15-98DF-D00B0F4F66E3}" name="Products"/>
    <tableColumn id="4" xr3:uid="{D2495BE2-E4FF-4053-B258-738FF687F45E}" name="Unit Sold"/>
    <tableColumn id="5" xr3:uid="{049FBC20-90FE-44A4-B8F9-736A3BA55928}" name="Unit Price"/>
    <tableColumn id="6" xr3:uid="{D12A579A-3594-4577-9400-14F02DCE3EA9}" name="COG" dataDxfId="5"/>
    <tableColumn id="7" xr3:uid="{E5731A0C-70D5-48F0-B05A-EC2886933889}" name="Total Sales"/>
    <tableColumn id="8" xr3:uid="{910458ED-55BA-4E02-973E-561D6DC9E249}" name="Profit" dataDxfId="4"/>
    <tableColumn id="9" xr3:uid="{2503B0B4-279A-4A37-854B-90BC03B2A1E9}" name="Reg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373CD-5CCE-4ED8-A1A9-AD8F1ECC767B}">
  <dimension ref="A1:L53"/>
  <sheetViews>
    <sheetView topLeftCell="A2" zoomScale="117" workbookViewId="0"/>
  </sheetViews>
  <sheetFormatPr defaultRowHeight="14.4" x14ac:dyDescent="0.3"/>
  <cols>
    <col min="1" max="1" width="10.33203125" bestFit="1" customWidth="1"/>
    <col min="2" max="2" width="11.21875" customWidth="1"/>
    <col min="3" max="3" width="10.33203125" customWidth="1"/>
    <col min="4" max="4" width="10.5546875" customWidth="1"/>
    <col min="5" max="5" width="11" customWidth="1"/>
    <col min="7" max="7" width="11.77734375" customWidth="1"/>
  </cols>
  <sheetData>
    <row r="1" spans="1:12" x14ac:dyDescent="0.3">
      <c r="A1" s="3" t="s">
        <v>99</v>
      </c>
      <c r="B1" s="3" t="s">
        <v>15</v>
      </c>
      <c r="C1" s="3" t="s">
        <v>4</v>
      </c>
      <c r="D1" s="3" t="s">
        <v>16</v>
      </c>
      <c r="E1" s="3" t="s">
        <v>17</v>
      </c>
      <c r="F1" s="3" t="s">
        <v>19</v>
      </c>
      <c r="G1" s="3" t="s">
        <v>60</v>
      </c>
      <c r="H1" s="3" t="s">
        <v>100</v>
      </c>
      <c r="I1" s="3" t="s">
        <v>105</v>
      </c>
    </row>
    <row r="2" spans="1:12" x14ac:dyDescent="0.3">
      <c r="A2" s="1">
        <v>46023</v>
      </c>
      <c r="B2" t="s">
        <v>0</v>
      </c>
      <c r="C2" t="s">
        <v>5</v>
      </c>
      <c r="D2">
        <v>84</v>
      </c>
      <c r="E2" t="s">
        <v>18</v>
      </c>
      <c r="F2" s="2">
        <v>4000</v>
      </c>
      <c r="G2" t="s">
        <v>61</v>
      </c>
      <c r="H2" s="2">
        <v>168000</v>
      </c>
      <c r="I2" t="s">
        <v>106</v>
      </c>
      <c r="K2" s="5" t="s">
        <v>101</v>
      </c>
      <c r="L2" s="5"/>
    </row>
    <row r="3" spans="1:12" x14ac:dyDescent="0.3">
      <c r="A3" s="1">
        <v>46024</v>
      </c>
      <c r="B3" t="s">
        <v>1</v>
      </c>
      <c r="C3" t="s">
        <v>6</v>
      </c>
      <c r="D3">
        <v>128</v>
      </c>
      <c r="E3" t="s">
        <v>20</v>
      </c>
      <c r="F3" s="2">
        <v>4001</v>
      </c>
      <c r="G3" t="s">
        <v>62</v>
      </c>
      <c r="H3" s="2">
        <v>168001</v>
      </c>
      <c r="I3" t="s">
        <v>106</v>
      </c>
      <c r="K3" s="6">
        <v>858078</v>
      </c>
      <c r="L3" s="6"/>
    </row>
    <row r="4" spans="1:12" x14ac:dyDescent="0.3">
      <c r="A4" s="1">
        <v>46025</v>
      </c>
      <c r="B4" t="s">
        <v>2</v>
      </c>
      <c r="C4" t="s">
        <v>7</v>
      </c>
      <c r="D4">
        <v>136</v>
      </c>
      <c r="E4" t="s">
        <v>21</v>
      </c>
      <c r="F4" s="2">
        <v>4002</v>
      </c>
      <c r="G4" t="s">
        <v>63</v>
      </c>
      <c r="H4" s="2">
        <v>168002</v>
      </c>
      <c r="I4" t="s">
        <v>106</v>
      </c>
      <c r="K4" s="5" t="s">
        <v>102</v>
      </c>
      <c r="L4" s="5"/>
    </row>
    <row r="5" spans="1:12" x14ac:dyDescent="0.3">
      <c r="A5" s="1">
        <v>46026</v>
      </c>
      <c r="B5" t="s">
        <v>3</v>
      </c>
      <c r="C5" t="s">
        <v>8</v>
      </c>
      <c r="D5">
        <v>91</v>
      </c>
      <c r="E5" t="s">
        <v>22</v>
      </c>
      <c r="F5" s="2">
        <v>4003</v>
      </c>
      <c r="G5" t="s">
        <v>64</v>
      </c>
      <c r="H5" s="2">
        <v>168003</v>
      </c>
      <c r="I5" t="s">
        <v>106</v>
      </c>
      <c r="K5" s="6">
        <f>SUM(D2:D53)</f>
        <v>7982</v>
      </c>
      <c r="L5" s="6"/>
    </row>
    <row r="6" spans="1:12" x14ac:dyDescent="0.3">
      <c r="A6" s="1">
        <v>46027</v>
      </c>
      <c r="B6" t="s">
        <v>0</v>
      </c>
      <c r="C6" t="s">
        <v>9</v>
      </c>
      <c r="D6">
        <v>110</v>
      </c>
      <c r="E6" t="s">
        <v>23</v>
      </c>
      <c r="F6" s="2">
        <v>4004</v>
      </c>
      <c r="G6" t="s">
        <v>65</v>
      </c>
      <c r="H6" s="2">
        <v>168004</v>
      </c>
      <c r="I6" t="s">
        <v>106</v>
      </c>
      <c r="K6" s="5" t="s">
        <v>103</v>
      </c>
      <c r="L6" s="5"/>
    </row>
    <row r="7" spans="1:12" x14ac:dyDescent="0.3">
      <c r="A7" s="1">
        <v>46028</v>
      </c>
      <c r="B7" t="s">
        <v>1</v>
      </c>
      <c r="C7" t="s">
        <v>10</v>
      </c>
      <c r="D7">
        <v>51</v>
      </c>
      <c r="E7" t="s">
        <v>24</v>
      </c>
      <c r="F7" s="2">
        <v>4005</v>
      </c>
      <c r="G7" t="s">
        <v>66</v>
      </c>
      <c r="H7" s="2">
        <v>168005</v>
      </c>
      <c r="I7" t="s">
        <v>106</v>
      </c>
      <c r="K7" s="7">
        <f>SUM(H2:H53)</f>
        <v>8569275</v>
      </c>
      <c r="L7" s="6"/>
    </row>
    <row r="8" spans="1:12" x14ac:dyDescent="0.3">
      <c r="A8" s="1">
        <v>46029</v>
      </c>
      <c r="B8" t="s">
        <v>2</v>
      </c>
      <c r="C8" t="s">
        <v>11</v>
      </c>
      <c r="D8">
        <v>78</v>
      </c>
      <c r="E8" t="s">
        <v>25</v>
      </c>
      <c r="F8" s="2">
        <v>4006</v>
      </c>
      <c r="G8" t="s">
        <v>67</v>
      </c>
      <c r="H8" s="2">
        <v>168006</v>
      </c>
      <c r="I8" t="s">
        <v>106</v>
      </c>
      <c r="K8" s="5" t="s">
        <v>104</v>
      </c>
      <c r="L8" s="5"/>
    </row>
    <row r="9" spans="1:12" x14ac:dyDescent="0.3">
      <c r="A9" s="1">
        <v>46030</v>
      </c>
      <c r="B9" t="s">
        <v>3</v>
      </c>
      <c r="C9" t="s">
        <v>12</v>
      </c>
      <c r="D9">
        <v>146</v>
      </c>
      <c r="E9" t="s">
        <v>26</v>
      </c>
      <c r="F9" s="2">
        <v>4007</v>
      </c>
      <c r="G9" t="s">
        <v>68</v>
      </c>
      <c r="H9" s="2">
        <v>168007</v>
      </c>
      <c r="I9" t="s">
        <v>106</v>
      </c>
      <c r="K9" s="6">
        <f>AVERAGE(G2:G53)</f>
        <v>66006</v>
      </c>
      <c r="L9" s="6"/>
    </row>
    <row r="10" spans="1:12" x14ac:dyDescent="0.3">
      <c r="A10" s="1">
        <v>46031</v>
      </c>
      <c r="B10" t="s">
        <v>0</v>
      </c>
      <c r="C10" t="s">
        <v>13</v>
      </c>
      <c r="D10">
        <v>25</v>
      </c>
      <c r="E10" t="s">
        <v>27</v>
      </c>
      <c r="F10" s="2">
        <v>4008</v>
      </c>
      <c r="G10" t="s">
        <v>69</v>
      </c>
      <c r="H10" s="2">
        <v>168008</v>
      </c>
      <c r="I10" t="s">
        <v>106</v>
      </c>
    </row>
    <row r="11" spans="1:12" x14ac:dyDescent="0.3">
      <c r="A11" s="1">
        <v>46032</v>
      </c>
      <c r="B11" t="s">
        <v>1</v>
      </c>
      <c r="C11" t="s">
        <v>14</v>
      </c>
      <c r="D11">
        <v>52</v>
      </c>
      <c r="E11" t="s">
        <v>28</v>
      </c>
      <c r="F11" s="2">
        <v>4009</v>
      </c>
      <c r="G11" t="s">
        <v>70</v>
      </c>
      <c r="H11" s="2">
        <v>168009</v>
      </c>
      <c r="I11" t="s">
        <v>106</v>
      </c>
    </row>
    <row r="12" spans="1:12" x14ac:dyDescent="0.3">
      <c r="A12" s="1">
        <v>46033</v>
      </c>
      <c r="B12" t="s">
        <v>2</v>
      </c>
      <c r="C12" t="s">
        <v>5</v>
      </c>
      <c r="D12">
        <v>76</v>
      </c>
      <c r="E12" t="s">
        <v>29</v>
      </c>
      <c r="F12" s="2">
        <v>4010</v>
      </c>
      <c r="G12" t="s">
        <v>71</v>
      </c>
      <c r="H12" s="2">
        <v>168010</v>
      </c>
      <c r="I12" t="s">
        <v>106</v>
      </c>
    </row>
    <row r="13" spans="1:12" x14ac:dyDescent="0.3">
      <c r="A13" s="1">
        <v>46034</v>
      </c>
      <c r="B13" t="s">
        <v>3</v>
      </c>
      <c r="C13" t="s">
        <v>6</v>
      </c>
      <c r="D13">
        <v>144</v>
      </c>
      <c r="E13" t="s">
        <v>30</v>
      </c>
      <c r="F13" s="2">
        <v>4011</v>
      </c>
      <c r="G13" t="s">
        <v>72</v>
      </c>
      <c r="H13" s="2">
        <v>168011</v>
      </c>
      <c r="I13" t="s">
        <v>106</v>
      </c>
    </row>
    <row r="14" spans="1:12" x14ac:dyDescent="0.3">
      <c r="A14" s="1">
        <v>46035</v>
      </c>
      <c r="B14" t="s">
        <v>0</v>
      </c>
      <c r="C14" t="s">
        <v>7</v>
      </c>
      <c r="D14">
        <v>12</v>
      </c>
      <c r="E14" t="s">
        <v>31</v>
      </c>
      <c r="F14" s="2">
        <v>4012</v>
      </c>
      <c r="G14" t="s">
        <v>73</v>
      </c>
      <c r="H14" s="2">
        <v>168012</v>
      </c>
      <c r="I14" t="s">
        <v>106</v>
      </c>
    </row>
    <row r="15" spans="1:12" x14ac:dyDescent="0.3">
      <c r="A15" s="1">
        <v>46036</v>
      </c>
      <c r="B15" t="s">
        <v>1</v>
      </c>
      <c r="C15" t="s">
        <v>8</v>
      </c>
      <c r="D15">
        <v>125</v>
      </c>
      <c r="E15" t="s">
        <v>32</v>
      </c>
      <c r="F15" s="2">
        <v>100</v>
      </c>
      <c r="G15" t="s">
        <v>74</v>
      </c>
      <c r="H15" s="2">
        <v>168013</v>
      </c>
      <c r="I15" t="s">
        <v>106</v>
      </c>
    </row>
    <row r="16" spans="1:12" x14ac:dyDescent="0.3">
      <c r="A16" s="1">
        <v>46037</v>
      </c>
      <c r="B16" t="s">
        <v>2</v>
      </c>
      <c r="C16" t="s">
        <v>9</v>
      </c>
      <c r="D16">
        <v>325</v>
      </c>
      <c r="E16" t="s">
        <v>33</v>
      </c>
      <c r="F16" s="2">
        <v>101</v>
      </c>
      <c r="G16" t="s">
        <v>75</v>
      </c>
      <c r="H16" s="2">
        <v>168014</v>
      </c>
      <c r="I16" t="s">
        <v>106</v>
      </c>
    </row>
    <row r="17" spans="1:9" x14ac:dyDescent="0.3">
      <c r="A17" s="1">
        <v>46038</v>
      </c>
      <c r="B17" t="s">
        <v>3</v>
      </c>
      <c r="C17" t="s">
        <v>10</v>
      </c>
      <c r="D17">
        <v>652</v>
      </c>
      <c r="E17" t="s">
        <v>34</v>
      </c>
      <c r="F17" s="2">
        <v>102</v>
      </c>
      <c r="G17" t="s">
        <v>76</v>
      </c>
      <c r="H17" s="2">
        <v>168015</v>
      </c>
      <c r="I17" t="s">
        <v>106</v>
      </c>
    </row>
    <row r="18" spans="1:9" x14ac:dyDescent="0.3">
      <c r="A18" s="1">
        <v>46039</v>
      </c>
      <c r="B18" t="s">
        <v>0</v>
      </c>
      <c r="C18" t="s">
        <v>11</v>
      </c>
      <c r="D18">
        <v>114</v>
      </c>
      <c r="E18" t="s">
        <v>35</v>
      </c>
      <c r="F18" s="2">
        <v>103</v>
      </c>
      <c r="G18" t="s">
        <v>77</v>
      </c>
      <c r="H18" s="2">
        <v>168016</v>
      </c>
      <c r="I18" t="s">
        <v>106</v>
      </c>
    </row>
    <row r="19" spans="1:9" x14ac:dyDescent="0.3">
      <c r="A19" s="1">
        <v>46040</v>
      </c>
      <c r="B19" t="s">
        <v>1</v>
      </c>
      <c r="C19" t="s">
        <v>12</v>
      </c>
      <c r="D19">
        <v>258</v>
      </c>
      <c r="E19" t="s">
        <v>36</v>
      </c>
      <c r="F19" s="2">
        <v>104</v>
      </c>
      <c r="G19" t="s">
        <v>78</v>
      </c>
      <c r="H19" s="2">
        <v>168017</v>
      </c>
      <c r="I19" t="s">
        <v>106</v>
      </c>
    </row>
    <row r="20" spans="1:9" x14ac:dyDescent="0.3">
      <c r="A20" s="1">
        <v>46041</v>
      </c>
      <c r="B20" t="s">
        <v>2</v>
      </c>
      <c r="C20" t="s">
        <v>13</v>
      </c>
      <c r="D20">
        <v>147</v>
      </c>
      <c r="E20" t="s">
        <v>37</v>
      </c>
      <c r="F20" s="2">
        <v>105</v>
      </c>
      <c r="G20" t="s">
        <v>79</v>
      </c>
      <c r="H20" s="2">
        <v>168018</v>
      </c>
      <c r="I20" t="s">
        <v>106</v>
      </c>
    </row>
    <row r="21" spans="1:9" x14ac:dyDescent="0.3">
      <c r="A21" s="1">
        <v>46042</v>
      </c>
      <c r="B21" t="s">
        <v>3</v>
      </c>
      <c r="C21" t="s">
        <v>14</v>
      </c>
      <c r="D21">
        <v>369</v>
      </c>
      <c r="E21" t="s">
        <v>38</v>
      </c>
      <c r="F21" s="2">
        <v>106</v>
      </c>
      <c r="G21" t="s">
        <v>80</v>
      </c>
      <c r="H21" s="2">
        <v>168019</v>
      </c>
      <c r="I21" t="s">
        <v>106</v>
      </c>
    </row>
    <row r="22" spans="1:9" x14ac:dyDescent="0.3">
      <c r="A22" s="1">
        <v>46043</v>
      </c>
      <c r="B22" t="s">
        <v>0</v>
      </c>
      <c r="C22" t="s">
        <v>5</v>
      </c>
      <c r="D22">
        <v>785</v>
      </c>
      <c r="E22" t="s">
        <v>39</v>
      </c>
      <c r="F22" s="2">
        <v>107</v>
      </c>
      <c r="G22" t="s">
        <v>81</v>
      </c>
      <c r="H22" s="2">
        <v>168020</v>
      </c>
      <c r="I22" t="s">
        <v>106</v>
      </c>
    </row>
    <row r="23" spans="1:9" x14ac:dyDescent="0.3">
      <c r="A23" s="1">
        <v>46044</v>
      </c>
      <c r="B23" t="s">
        <v>1</v>
      </c>
      <c r="C23" t="s">
        <v>6</v>
      </c>
      <c r="D23">
        <v>658</v>
      </c>
      <c r="E23" t="s">
        <v>40</v>
      </c>
      <c r="F23" s="2">
        <v>108</v>
      </c>
      <c r="G23" t="s">
        <v>82</v>
      </c>
      <c r="H23" s="2">
        <v>168021</v>
      </c>
      <c r="I23" t="s">
        <v>106</v>
      </c>
    </row>
    <row r="24" spans="1:9" x14ac:dyDescent="0.3">
      <c r="A24" s="1">
        <v>46045</v>
      </c>
      <c r="B24" t="s">
        <v>2</v>
      </c>
      <c r="C24" t="s">
        <v>7</v>
      </c>
      <c r="D24">
        <v>452</v>
      </c>
      <c r="E24" t="s">
        <v>41</v>
      </c>
      <c r="F24" s="2">
        <v>109</v>
      </c>
      <c r="G24" t="s">
        <v>83</v>
      </c>
      <c r="H24" s="2">
        <v>168022</v>
      </c>
      <c r="I24" t="s">
        <v>106</v>
      </c>
    </row>
    <row r="25" spans="1:9" x14ac:dyDescent="0.3">
      <c r="A25" s="1">
        <v>46046</v>
      </c>
      <c r="B25" t="s">
        <v>3</v>
      </c>
      <c r="C25" t="s">
        <v>8</v>
      </c>
      <c r="D25">
        <v>145</v>
      </c>
      <c r="E25" t="s">
        <v>42</v>
      </c>
      <c r="F25" s="2">
        <v>110</v>
      </c>
      <c r="G25" t="s">
        <v>84</v>
      </c>
      <c r="H25" s="2">
        <v>168023</v>
      </c>
      <c r="I25" t="s">
        <v>106</v>
      </c>
    </row>
    <row r="26" spans="1:9" x14ac:dyDescent="0.3">
      <c r="A26" s="1">
        <v>46047</v>
      </c>
      <c r="B26" t="s">
        <v>0</v>
      </c>
      <c r="C26" t="s">
        <v>9</v>
      </c>
      <c r="D26">
        <v>66</v>
      </c>
      <c r="E26" t="s">
        <v>43</v>
      </c>
      <c r="F26" s="2">
        <v>15000</v>
      </c>
      <c r="G26" t="s">
        <v>85</v>
      </c>
      <c r="H26" s="2">
        <v>168024</v>
      </c>
      <c r="I26" t="s">
        <v>106</v>
      </c>
    </row>
    <row r="27" spans="1:9" x14ac:dyDescent="0.3">
      <c r="A27" s="1">
        <v>46048</v>
      </c>
      <c r="B27" t="s">
        <v>1</v>
      </c>
      <c r="C27" t="s">
        <v>10</v>
      </c>
      <c r="D27">
        <v>564</v>
      </c>
      <c r="E27" t="s">
        <v>44</v>
      </c>
      <c r="F27" s="2">
        <v>15001</v>
      </c>
      <c r="G27" t="s">
        <v>86</v>
      </c>
      <c r="H27" s="2">
        <v>168025</v>
      </c>
      <c r="I27" t="s">
        <v>106</v>
      </c>
    </row>
    <row r="28" spans="1:9" x14ac:dyDescent="0.3">
      <c r="A28" s="1">
        <v>46049</v>
      </c>
      <c r="B28" t="s">
        <v>2</v>
      </c>
      <c r="C28" t="s">
        <v>11</v>
      </c>
      <c r="D28">
        <v>225</v>
      </c>
      <c r="E28" t="s">
        <v>45</v>
      </c>
      <c r="F28" s="2">
        <v>15002</v>
      </c>
      <c r="G28" t="s">
        <v>87</v>
      </c>
      <c r="H28" s="2">
        <v>168026</v>
      </c>
      <c r="I28" t="s">
        <v>108</v>
      </c>
    </row>
    <row r="29" spans="1:9" x14ac:dyDescent="0.3">
      <c r="A29" s="1">
        <v>46050</v>
      </c>
      <c r="B29" t="s">
        <v>3</v>
      </c>
      <c r="C29" t="s">
        <v>12</v>
      </c>
      <c r="D29">
        <v>33</v>
      </c>
      <c r="E29" t="s">
        <v>46</v>
      </c>
      <c r="F29" s="2">
        <v>15003</v>
      </c>
      <c r="G29" s="2">
        <v>66000</v>
      </c>
      <c r="H29" s="2">
        <v>168027</v>
      </c>
      <c r="I29" t="s">
        <v>108</v>
      </c>
    </row>
    <row r="30" spans="1:9" x14ac:dyDescent="0.3">
      <c r="A30" s="1">
        <v>46051</v>
      </c>
      <c r="B30" t="s">
        <v>0</v>
      </c>
      <c r="C30" t="s">
        <v>13</v>
      </c>
      <c r="D30">
        <v>65</v>
      </c>
      <c r="E30" t="s">
        <v>47</v>
      </c>
      <c r="F30" s="2">
        <v>15004</v>
      </c>
      <c r="G30" s="2">
        <v>66001</v>
      </c>
      <c r="H30" s="2">
        <v>168028</v>
      </c>
      <c r="I30" t="s">
        <v>108</v>
      </c>
    </row>
    <row r="31" spans="1:9" x14ac:dyDescent="0.3">
      <c r="A31" s="1">
        <v>46052</v>
      </c>
      <c r="B31" t="s">
        <v>1</v>
      </c>
      <c r="C31" t="s">
        <v>14</v>
      </c>
      <c r="D31">
        <v>98</v>
      </c>
      <c r="E31" t="s">
        <v>48</v>
      </c>
      <c r="F31" s="2">
        <v>15005</v>
      </c>
      <c r="G31" s="2">
        <v>66002</v>
      </c>
      <c r="H31" s="2">
        <v>168029</v>
      </c>
      <c r="I31" t="s">
        <v>108</v>
      </c>
    </row>
    <row r="32" spans="1:9" x14ac:dyDescent="0.3">
      <c r="A32" s="1">
        <v>46053</v>
      </c>
      <c r="B32" t="s">
        <v>2</v>
      </c>
      <c r="C32" t="s">
        <v>5</v>
      </c>
      <c r="D32">
        <v>77</v>
      </c>
      <c r="E32" t="s">
        <v>49</v>
      </c>
      <c r="F32" s="2">
        <v>15006</v>
      </c>
      <c r="G32" s="2">
        <v>66003</v>
      </c>
      <c r="H32" s="2">
        <v>168030</v>
      </c>
      <c r="I32" t="s">
        <v>108</v>
      </c>
    </row>
    <row r="33" spans="1:9" x14ac:dyDescent="0.3">
      <c r="A33" s="1">
        <v>46054</v>
      </c>
      <c r="B33" t="s">
        <v>3</v>
      </c>
      <c r="C33" t="s">
        <v>6</v>
      </c>
      <c r="D33">
        <v>85</v>
      </c>
      <c r="E33" t="s">
        <v>50</v>
      </c>
      <c r="F33" s="2">
        <v>15007</v>
      </c>
      <c r="G33" s="2">
        <v>66004</v>
      </c>
      <c r="H33" s="2">
        <v>168031</v>
      </c>
      <c r="I33" t="s">
        <v>108</v>
      </c>
    </row>
    <row r="34" spans="1:9" x14ac:dyDescent="0.3">
      <c r="A34" s="1">
        <v>46055</v>
      </c>
      <c r="B34" t="s">
        <v>0</v>
      </c>
      <c r="C34" t="s">
        <v>7</v>
      </c>
      <c r="D34">
        <v>96</v>
      </c>
      <c r="E34" t="s">
        <v>51</v>
      </c>
      <c r="F34" s="2">
        <v>15008</v>
      </c>
      <c r="G34" s="2">
        <v>66005</v>
      </c>
      <c r="H34" s="2">
        <v>168032</v>
      </c>
      <c r="I34" t="s">
        <v>106</v>
      </c>
    </row>
    <row r="35" spans="1:9" x14ac:dyDescent="0.3">
      <c r="A35" s="1">
        <v>46056</v>
      </c>
      <c r="B35" t="s">
        <v>1</v>
      </c>
      <c r="C35" t="s">
        <v>8</v>
      </c>
      <c r="D35">
        <v>25</v>
      </c>
      <c r="E35" t="s">
        <v>52</v>
      </c>
      <c r="F35" s="2">
        <v>15009</v>
      </c>
      <c r="G35" s="2">
        <v>66006</v>
      </c>
      <c r="H35" s="2">
        <v>168033</v>
      </c>
      <c r="I35" t="s">
        <v>107</v>
      </c>
    </row>
    <row r="36" spans="1:9" x14ac:dyDescent="0.3">
      <c r="A36" s="1">
        <v>46057</v>
      </c>
      <c r="B36" t="s">
        <v>2</v>
      </c>
      <c r="C36" t="s">
        <v>9</v>
      </c>
      <c r="D36">
        <v>66</v>
      </c>
      <c r="E36" t="s">
        <v>53</v>
      </c>
      <c r="F36" s="2">
        <v>15010</v>
      </c>
      <c r="G36" s="2">
        <v>66007</v>
      </c>
      <c r="H36" s="2">
        <v>168034</v>
      </c>
      <c r="I36" t="s">
        <v>107</v>
      </c>
    </row>
    <row r="37" spans="1:9" x14ac:dyDescent="0.3">
      <c r="A37" s="1">
        <v>46058</v>
      </c>
      <c r="B37" t="s">
        <v>3</v>
      </c>
      <c r="C37" t="s">
        <v>10</v>
      </c>
      <c r="D37">
        <v>457</v>
      </c>
      <c r="E37" t="s">
        <v>54</v>
      </c>
      <c r="F37" s="2">
        <v>15011</v>
      </c>
      <c r="G37" s="2">
        <v>66008</v>
      </c>
      <c r="H37" s="2">
        <v>168035</v>
      </c>
      <c r="I37" t="s">
        <v>107</v>
      </c>
    </row>
    <row r="38" spans="1:9" x14ac:dyDescent="0.3">
      <c r="A38" s="1">
        <v>46059</v>
      </c>
      <c r="B38" t="s">
        <v>0</v>
      </c>
      <c r="C38" t="s">
        <v>11</v>
      </c>
      <c r="D38">
        <v>22</v>
      </c>
      <c r="E38" t="s">
        <v>55</v>
      </c>
      <c r="F38" s="2">
        <v>15012</v>
      </c>
      <c r="G38" s="2">
        <v>66009</v>
      </c>
      <c r="H38" s="2">
        <v>168036</v>
      </c>
      <c r="I38" t="s">
        <v>107</v>
      </c>
    </row>
    <row r="39" spans="1:9" x14ac:dyDescent="0.3">
      <c r="A39" s="1">
        <v>46060</v>
      </c>
      <c r="B39" t="s">
        <v>1</v>
      </c>
      <c r="C39" t="s">
        <v>12</v>
      </c>
      <c r="D39">
        <v>32</v>
      </c>
      <c r="E39" t="s">
        <v>56</v>
      </c>
      <c r="F39" s="2">
        <v>15013</v>
      </c>
      <c r="G39" s="2">
        <v>66010</v>
      </c>
      <c r="H39" s="2">
        <v>168037</v>
      </c>
      <c r="I39" t="s">
        <v>107</v>
      </c>
    </row>
    <row r="40" spans="1:9" x14ac:dyDescent="0.3">
      <c r="A40" s="1">
        <v>46061</v>
      </c>
      <c r="B40" t="s">
        <v>2</v>
      </c>
      <c r="C40" t="s">
        <v>13</v>
      </c>
      <c r="D40">
        <v>69</v>
      </c>
      <c r="E40" t="s">
        <v>57</v>
      </c>
      <c r="F40" s="2">
        <v>15014</v>
      </c>
      <c r="G40" s="2">
        <v>66011</v>
      </c>
      <c r="H40" s="2">
        <v>168038</v>
      </c>
      <c r="I40" t="s">
        <v>107</v>
      </c>
    </row>
    <row r="41" spans="1:9" x14ac:dyDescent="0.3">
      <c r="A41" s="1">
        <v>46062</v>
      </c>
      <c r="B41" t="s">
        <v>3</v>
      </c>
      <c r="C41" t="s">
        <v>14</v>
      </c>
      <c r="D41">
        <v>76</v>
      </c>
      <c r="E41" t="s">
        <v>38</v>
      </c>
      <c r="F41" s="2">
        <v>4000</v>
      </c>
      <c r="G41" s="2">
        <v>66012</v>
      </c>
      <c r="H41" s="2">
        <v>168039</v>
      </c>
      <c r="I41" t="s">
        <v>107</v>
      </c>
    </row>
    <row r="42" spans="1:9" x14ac:dyDescent="0.3">
      <c r="A42" s="1">
        <v>46063</v>
      </c>
      <c r="B42" t="s">
        <v>0</v>
      </c>
      <c r="C42" t="s">
        <v>5</v>
      </c>
      <c r="D42">
        <v>54</v>
      </c>
      <c r="E42" t="s">
        <v>39</v>
      </c>
      <c r="F42" s="2">
        <v>4001</v>
      </c>
      <c r="G42" t="s">
        <v>88</v>
      </c>
      <c r="H42" s="2">
        <v>168040</v>
      </c>
      <c r="I42" t="s">
        <v>107</v>
      </c>
    </row>
    <row r="43" spans="1:9" x14ac:dyDescent="0.3">
      <c r="A43" s="1">
        <v>46064</v>
      </c>
      <c r="B43" t="s">
        <v>1</v>
      </c>
      <c r="C43" t="s">
        <v>6</v>
      </c>
      <c r="D43">
        <v>85</v>
      </c>
      <c r="E43" t="s">
        <v>40</v>
      </c>
      <c r="F43" s="2">
        <v>4002</v>
      </c>
      <c r="G43" t="s">
        <v>89</v>
      </c>
      <c r="H43" s="2">
        <v>168041</v>
      </c>
      <c r="I43" t="s">
        <v>107</v>
      </c>
    </row>
    <row r="44" spans="1:9" x14ac:dyDescent="0.3">
      <c r="A44" s="1">
        <v>46065</v>
      </c>
      <c r="B44" t="s">
        <v>2</v>
      </c>
      <c r="C44" t="s">
        <v>7</v>
      </c>
      <c r="D44">
        <v>96</v>
      </c>
      <c r="E44" t="s">
        <v>41</v>
      </c>
      <c r="F44" s="2">
        <v>4003</v>
      </c>
      <c r="G44" t="s">
        <v>90</v>
      </c>
      <c r="H44" s="2">
        <v>168042</v>
      </c>
      <c r="I44" t="s">
        <v>107</v>
      </c>
    </row>
    <row r="45" spans="1:9" x14ac:dyDescent="0.3">
      <c r="A45" s="1">
        <v>46066</v>
      </c>
      <c r="B45" t="s">
        <v>3</v>
      </c>
      <c r="C45" t="s">
        <v>8</v>
      </c>
      <c r="D45">
        <v>32</v>
      </c>
      <c r="E45" t="s">
        <v>42</v>
      </c>
      <c r="F45" s="2">
        <v>4004</v>
      </c>
      <c r="G45" t="s">
        <v>91</v>
      </c>
      <c r="H45" s="2">
        <v>168043</v>
      </c>
      <c r="I45" t="s">
        <v>109</v>
      </c>
    </row>
    <row r="46" spans="1:9" x14ac:dyDescent="0.3">
      <c r="A46" s="1">
        <v>46067</v>
      </c>
      <c r="B46" t="s">
        <v>0</v>
      </c>
      <c r="C46" t="s">
        <v>9</v>
      </c>
      <c r="D46">
        <v>44</v>
      </c>
      <c r="E46" t="s">
        <v>43</v>
      </c>
      <c r="F46" s="2">
        <v>4005</v>
      </c>
      <c r="G46" t="s">
        <v>92</v>
      </c>
      <c r="H46" s="2">
        <v>168044</v>
      </c>
      <c r="I46" t="s">
        <v>106</v>
      </c>
    </row>
    <row r="47" spans="1:9" x14ac:dyDescent="0.3">
      <c r="A47" s="1">
        <v>46068</v>
      </c>
      <c r="B47" t="s">
        <v>1</v>
      </c>
      <c r="C47" t="s">
        <v>10</v>
      </c>
      <c r="D47">
        <v>56</v>
      </c>
      <c r="E47" t="s">
        <v>44</v>
      </c>
      <c r="F47" s="2">
        <v>4006</v>
      </c>
      <c r="G47" t="s">
        <v>93</v>
      </c>
      <c r="H47" s="2">
        <v>168045</v>
      </c>
      <c r="I47" t="s">
        <v>107</v>
      </c>
    </row>
    <row r="48" spans="1:9" x14ac:dyDescent="0.3">
      <c r="A48" s="1">
        <v>46069</v>
      </c>
      <c r="B48" t="s">
        <v>2</v>
      </c>
      <c r="C48" t="s">
        <v>11</v>
      </c>
      <c r="D48">
        <v>97</v>
      </c>
      <c r="E48" t="s">
        <v>45</v>
      </c>
      <c r="F48" s="2">
        <v>4007</v>
      </c>
      <c r="G48" t="s">
        <v>94</v>
      </c>
      <c r="H48" s="2">
        <v>168046</v>
      </c>
      <c r="I48" t="s">
        <v>108</v>
      </c>
    </row>
    <row r="49" spans="1:9" x14ac:dyDescent="0.3">
      <c r="A49" s="1">
        <v>46070</v>
      </c>
      <c r="B49" t="s">
        <v>3</v>
      </c>
      <c r="C49" t="s">
        <v>12</v>
      </c>
      <c r="D49">
        <v>85</v>
      </c>
      <c r="E49" t="s">
        <v>46</v>
      </c>
      <c r="F49" s="2">
        <v>4008</v>
      </c>
      <c r="G49" t="s">
        <v>95</v>
      </c>
      <c r="H49" s="2">
        <v>168047</v>
      </c>
      <c r="I49" t="s">
        <v>109</v>
      </c>
    </row>
    <row r="50" spans="1:9" x14ac:dyDescent="0.3">
      <c r="A50" s="1">
        <v>46071</v>
      </c>
      <c r="B50" t="s">
        <v>0</v>
      </c>
      <c r="C50" t="s">
        <v>13</v>
      </c>
      <c r="D50">
        <v>62</v>
      </c>
      <c r="E50" t="s">
        <v>47</v>
      </c>
      <c r="F50" s="2">
        <v>4009</v>
      </c>
      <c r="G50" t="s">
        <v>96</v>
      </c>
      <c r="H50" s="2">
        <v>168048</v>
      </c>
      <c r="I50" t="s">
        <v>106</v>
      </c>
    </row>
    <row r="51" spans="1:9" x14ac:dyDescent="0.3">
      <c r="A51" s="1">
        <v>46072</v>
      </c>
      <c r="B51" t="s">
        <v>1</v>
      </c>
      <c r="C51" t="s">
        <v>14</v>
      </c>
      <c r="D51">
        <v>56</v>
      </c>
      <c r="E51" t="s">
        <v>58</v>
      </c>
      <c r="F51" s="2">
        <v>4010</v>
      </c>
      <c r="G51" t="s">
        <v>97</v>
      </c>
      <c r="H51" s="2">
        <v>168049</v>
      </c>
      <c r="I51" t="s">
        <v>107</v>
      </c>
    </row>
    <row r="52" spans="1:9" x14ac:dyDescent="0.3">
      <c r="A52" s="1">
        <v>46073</v>
      </c>
      <c r="B52" t="s">
        <v>2</v>
      </c>
      <c r="C52" t="s">
        <v>12</v>
      </c>
      <c r="D52">
        <v>96</v>
      </c>
      <c r="E52" t="s">
        <v>59</v>
      </c>
      <c r="F52" s="2">
        <v>4011</v>
      </c>
      <c r="G52" t="s">
        <v>98</v>
      </c>
      <c r="H52" s="2">
        <v>168050</v>
      </c>
      <c r="I52" t="s">
        <v>108</v>
      </c>
    </row>
    <row r="53" spans="1:9" x14ac:dyDescent="0.3">
      <c r="A53" s="1"/>
      <c r="F53" s="2"/>
      <c r="H53" s="2"/>
    </row>
  </sheetData>
  <mergeCells count="8">
    <mergeCell ref="K8:L8"/>
    <mergeCell ref="K9:L9"/>
    <mergeCell ref="K2:L2"/>
    <mergeCell ref="K3:L3"/>
    <mergeCell ref="K4:L4"/>
    <mergeCell ref="K5:L5"/>
    <mergeCell ref="K6:L6"/>
    <mergeCell ref="K7:L7"/>
  </mergeCells>
  <phoneticPr fontId="2"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31E6-AFFD-4CAB-A82C-0EFBF1EA2C48}">
  <dimension ref="A3:B23"/>
  <sheetViews>
    <sheetView topLeftCell="A2" workbookViewId="0">
      <selection activeCell="H19" sqref="H19"/>
    </sheetView>
  </sheetViews>
  <sheetFormatPr defaultRowHeight="14.4" x14ac:dyDescent="0.3"/>
  <cols>
    <col min="1" max="1" width="12.5546875" bestFit="1" customWidth="1"/>
    <col min="2" max="2" width="17.88671875" bestFit="1" customWidth="1"/>
    <col min="12" max="12" width="12.5546875" bestFit="1" customWidth="1"/>
    <col min="13" max="13" width="17.88671875" bestFit="1" customWidth="1"/>
  </cols>
  <sheetData>
    <row r="3" spans="1:2" x14ac:dyDescent="0.3">
      <c r="A3" s="8" t="s">
        <v>110</v>
      </c>
      <c r="B3" s="8" t="s">
        <v>113</v>
      </c>
    </row>
    <row r="4" spans="1:2" x14ac:dyDescent="0.3">
      <c r="A4" s="4" t="s">
        <v>5</v>
      </c>
      <c r="B4">
        <v>5</v>
      </c>
    </row>
    <row r="5" spans="1:2" x14ac:dyDescent="0.3">
      <c r="A5" s="4" t="s">
        <v>9</v>
      </c>
      <c r="B5">
        <v>5</v>
      </c>
    </row>
    <row r="6" spans="1:2" x14ac:dyDescent="0.3">
      <c r="A6" s="4" t="s">
        <v>11</v>
      </c>
      <c r="B6">
        <v>5</v>
      </c>
    </row>
    <row r="7" spans="1:2" x14ac:dyDescent="0.3">
      <c r="A7" s="4" t="s">
        <v>7</v>
      </c>
      <c r="B7">
        <v>5</v>
      </c>
    </row>
    <row r="8" spans="1:2" x14ac:dyDescent="0.3">
      <c r="A8" s="4" t="s">
        <v>10</v>
      </c>
      <c r="B8">
        <v>5</v>
      </c>
    </row>
    <row r="9" spans="1:2" x14ac:dyDescent="0.3">
      <c r="A9" s="4" t="s">
        <v>13</v>
      </c>
      <c r="B9">
        <v>5</v>
      </c>
    </row>
    <row r="10" spans="1:2" x14ac:dyDescent="0.3">
      <c r="A10" s="4" t="s">
        <v>8</v>
      </c>
      <c r="B10">
        <v>5</v>
      </c>
    </row>
    <row r="11" spans="1:2" x14ac:dyDescent="0.3">
      <c r="A11" s="4" t="s">
        <v>6</v>
      </c>
      <c r="B11">
        <v>5</v>
      </c>
    </row>
    <row r="12" spans="1:2" x14ac:dyDescent="0.3">
      <c r="A12" s="4" t="s">
        <v>14</v>
      </c>
      <c r="B12">
        <v>5</v>
      </c>
    </row>
    <row r="13" spans="1:2" x14ac:dyDescent="0.3">
      <c r="A13" s="4" t="s">
        <v>12</v>
      </c>
      <c r="B13">
        <v>6</v>
      </c>
    </row>
    <row r="14" spans="1:2" x14ac:dyDescent="0.3">
      <c r="A14" s="4" t="s">
        <v>111</v>
      </c>
    </row>
    <row r="15" spans="1:2" x14ac:dyDescent="0.3">
      <c r="A15" s="4" t="s">
        <v>112</v>
      </c>
      <c r="B15">
        <v>51</v>
      </c>
    </row>
    <row r="17" spans="1:2" x14ac:dyDescent="0.3">
      <c r="A17" s="8" t="s">
        <v>110</v>
      </c>
      <c r="B17" s="8" t="s">
        <v>113</v>
      </c>
    </row>
    <row r="18" spans="1:2" x14ac:dyDescent="0.3">
      <c r="A18" s="4" t="s">
        <v>0</v>
      </c>
      <c r="B18">
        <v>13</v>
      </c>
    </row>
    <row r="19" spans="1:2" x14ac:dyDescent="0.3">
      <c r="A19" s="4" t="s">
        <v>1</v>
      </c>
      <c r="B19">
        <v>13</v>
      </c>
    </row>
    <row r="20" spans="1:2" x14ac:dyDescent="0.3">
      <c r="A20" s="4" t="s">
        <v>2</v>
      </c>
      <c r="B20">
        <v>13</v>
      </c>
    </row>
    <row r="21" spans="1:2" x14ac:dyDescent="0.3">
      <c r="A21" s="4" t="s">
        <v>3</v>
      </c>
      <c r="B21">
        <v>12</v>
      </c>
    </row>
    <row r="22" spans="1:2" x14ac:dyDescent="0.3">
      <c r="A22" s="4" t="s">
        <v>111</v>
      </c>
    </row>
    <row r="23" spans="1:2" x14ac:dyDescent="0.3">
      <c r="A23" s="4" t="s">
        <v>112</v>
      </c>
      <c r="B23">
        <v>51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1B797-AC70-41C8-8300-5A9900F1C61B}">
  <dimension ref="A1"/>
  <sheetViews>
    <sheetView tabSelected="1" topLeftCell="G6" zoomScale="93" zoomScaleNormal="55" workbookViewId="0">
      <selection activeCell="X6" sqref="X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PRODUCT DETAILS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vishwa anandhakumar</dc:creator>
  <cp:lastModifiedBy>vishwa anandhakumar</cp:lastModifiedBy>
  <dcterms:created xsi:type="dcterms:W3CDTF">2026-03-20T12:10:35Z</dcterms:created>
  <dcterms:modified xsi:type="dcterms:W3CDTF">2026-03-24T14:40:37Z</dcterms:modified>
</cp:coreProperties>
</file>